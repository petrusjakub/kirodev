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KALKULATOR" sheetId="1" r:id="rId4"/>
    <sheet state="visible" name="DATA_PLAN_A" sheetId="2" r:id="rId5"/>
    <sheet state="visible" name="DATA_PLAN_B" sheetId="3" r:id="rId6"/>
    <sheet state="visible" name="DATA_PLAN_C" sheetId="4" r:id="rId7"/>
    <sheet state="visible" name="KOMISI" sheetId="5" r:id="rId8"/>
    <sheet state="visible" name="PERBANDINGAN" sheetId="6" r:id="rId9"/>
    <sheet state="visible" name="OVERVIEW" sheetId="7" r:id="rId10"/>
  </sheets>
  <definedNames/>
  <calcPr/>
</workbook>
</file>

<file path=xl/sharedStrings.xml><?xml version="1.0" encoding="utf-8"?>
<sst xmlns="http://schemas.openxmlformats.org/spreadsheetml/2006/main" count="235" uniqueCount="235">
  <si>
    <t>KALKULATOR MDWA - Manulife Dynamic Wealth Assurance</t>
  </si>
  <si>
    <t>INPUT DATA NASABAH</t>
  </si>
  <si>
    <t>Jenis Kelamin:</t>
  </si>
  <si>
    <t>Pria</t>
  </si>
  <si>
    <t>Wanita</t>
  </si>
  <si>
    <t>Usia Masuk (tahun):</t>
  </si>
  <si>
    <t>Premi (nominal):</t>
  </si>
  <si>
    <t>Plan:</t>
  </si>
  <si>
    <t>A</t>
  </si>
  <si>
    <t>B</t>
  </si>
  <si>
    <t>C</t>
  </si>
  <si>
    <t>Mata Uang:</t>
  </si>
  <si>
    <t>IDR</t>
  </si>
  <si>
    <t>USD</t>
  </si>
  <si>
    <t>Masa Pembayaran Premi:</t>
  </si>
  <si>
    <t>Single</t>
  </si>
  <si>
    <t>Masa Pertanggungan (tahun):</t>
  </si>
  <si>
    <t>Mode Pembayaran:</t>
  </si>
  <si>
    <t>Tahunan</t>
  </si>
  <si>
    <t>HASIL PERHITUNGAN</t>
  </si>
  <si>
    <t>Kelayakan Usia:</t>
  </si>
  <si>
    <t>Level Banding:</t>
  </si>
  <si>
    <t>Cek Minimum Premi:</t>
  </si>
  <si>
    <t>Validasi Masa Pertanggungan:</t>
  </si>
  <si>
    <t>Validasi PPP vs Coverage:</t>
  </si>
  <si>
    <t>PROYEKSI MANFAAT</t>
  </si>
  <si>
    <t>Persentase Tahapan Tahunan:</t>
  </si>
  <si>
    <t>(% dari Premi)</t>
  </si>
  <si>
    <t>Nominal Tahapan/Tahun:</t>
  </si>
  <si>
    <t>IDR/USD per tahun</t>
  </si>
  <si>
    <t>Persentase Manfaat Jatuh Tempo:</t>
  </si>
  <si>
    <t>Nominal Manfaat Jatuh Tempo:</t>
  </si>
  <si>
    <t>Banding 2 Extra (%):</t>
  </si>
  <si>
    <t>Banding 2 Extra (nominal):</t>
  </si>
  <si>
    <t>Mulai Pembayaran Tahapan:</t>
  </si>
  <si>
    <t>Jumlah Tahun Pembayaran:</t>
  </si>
  <si>
    <t>Total Tahapan (seluruh periode):</t>
  </si>
  <si>
    <t>TOTAL MANFAAT:</t>
  </si>
  <si>
    <t>MANFAAT TAMBAHAN</t>
  </si>
  <si>
    <t>ADB &amp; TPD per tahun:</t>
  </si>
  <si>
    <t>25% of Annual Basic Premium</t>
  </si>
  <si>
    <t>Total ADB &amp; TPD (full coverage):</t>
  </si>
  <si>
    <t>KONVERSI MODE PEMBAYARAN</t>
  </si>
  <si>
    <t>Premi Tahunan:</t>
  </si>
  <si>
    <t>Premi Semesteran:</t>
  </si>
  <si>
    <t>IDR 52.5% / USD 51.25%</t>
  </si>
  <si>
    <t>Premi Triwulanan:</t>
  </si>
  <si>
    <t>IDR 27.5% / USD 26.5%</t>
  </si>
  <si>
    <t>Premi Bulanan:</t>
  </si>
  <si>
    <t>IDR 9.5% / USD 9%</t>
  </si>
  <si>
    <t>CATATAN:</t>
  </si>
  <si>
    <t>- Ubah nilai di sel berwarna KUNING untuk melihat hasil otomatis</t>
  </si>
  <si>
    <t>- Plan A (Anuitas): Tahapan tahunan, coverage 20/30 tahun</t>
  </si>
  <si>
    <t>- Plan B (Beasiswa): Lump sum jatuh tempo, coverage 5-15/20/30 tahun</t>
  </si>
  <si>
    <t>- Plan C (Combo): Tahapan + jatuh tempo, coverage 10/15/20/30 tahun</t>
  </si>
  <si>
    <t>- Lihat sheet DATA_PLAN_A/B/C untuk tabel referensi lengkap</t>
  </si>
  <si>
    <t>- Usia masuk: Single 30 hari-85 thn, Regular 30 hari-70 thn</t>
  </si>
  <si>
    <t>- Gender mempengaruhi underwriting namun TIDAK mempengaruhi benefit MDWA (unisex rate)</t>
  </si>
  <si>
    <t>DATA PLAN A - ANUITAS (Tabel Referensi)</t>
  </si>
  <si>
    <t>Key</t>
  </si>
  <si>
    <t>Masa Bayar</t>
  </si>
  <si>
    <t>Tahapan % IDR (B1)</t>
  </si>
  <si>
    <t>Extra % IDR (B2)</t>
  </si>
  <si>
    <t>Tahapan % USD (B1)</t>
  </si>
  <si>
    <t>Extra % USD (B2)</t>
  </si>
  <si>
    <t>Mulai Bayar</t>
  </si>
  <si>
    <t>Single_20</t>
  </si>
  <si>
    <t>Single_30</t>
  </si>
  <si>
    <t>5_20</t>
  </si>
  <si>
    <t>5_30</t>
  </si>
  <si>
    <t>10_20</t>
  </si>
  <si>
    <t>10_30</t>
  </si>
  <si>
    <t>5 Tahun</t>
  </si>
  <si>
    <t>10 Tahun</t>
  </si>
  <si>
    <t>JADWAL PEMBAYARAN TAHAPAN</t>
  </si>
  <si>
    <t>Single: Mulai akhir tahun ke-6 s/d akhir masa pertanggungan</t>
  </si>
  <si>
    <t>PPP 5: Mulai akhir tahun ke-10 s/d akhir masa pertanggungan</t>
  </si>
  <si>
    <t>PPP 10: Mulai akhir tahun ke-15 s/d akhir masa pertanggungan</t>
  </si>
  <si>
    <t>Tahapan = % x Premi, dibayar setiap tahun dari start sampai akhir coverage</t>
  </si>
  <si>
    <t>Banding 2 Extra = tambahan % untuk premi &gt;= IDR 500M (Single) atau &gt;= IDR 100M (Regular)</t>
  </si>
  <si>
    <t>DATA PLAN B - BEASISWA (Tabel Referensi)</t>
  </si>
  <si>
    <t>Maturity % IDR (B1)</t>
  </si>
  <si>
    <t>Maturity % USD (B1)</t>
  </si>
  <si>
    <t>Single_5</t>
  </si>
  <si>
    <t>Single_6</t>
  </si>
  <si>
    <t>Single_7</t>
  </si>
  <si>
    <t>Single_8</t>
  </si>
  <si>
    <t>Single_9</t>
  </si>
  <si>
    <t>Single_10</t>
  </si>
  <si>
    <t>Single_11</t>
  </si>
  <si>
    <t>Single_12</t>
  </si>
  <si>
    <t>Single_13</t>
  </si>
  <si>
    <t>Single_14</t>
  </si>
  <si>
    <t>Single_15</t>
  </si>
  <si>
    <t>5_10</t>
  </si>
  <si>
    <t>5_11</t>
  </si>
  <si>
    <t>5_12</t>
  </si>
  <si>
    <t>5_13</t>
  </si>
  <si>
    <t>5_14</t>
  </si>
  <si>
    <t>5_15</t>
  </si>
  <si>
    <t>10_15</t>
  </si>
  <si>
    <t>DATA PLAN C - COMBO (Tabel Referensi)</t>
  </si>
  <si>
    <t>Tahapan % IDR</t>
  </si>
  <si>
    <t>Maturity % IDR</t>
  </si>
  <si>
    <t>Extra Mat % IDR</t>
  </si>
  <si>
    <t>Tahapan % USD</t>
  </si>
  <si>
    <t>Maturity % USD</t>
  </si>
  <si>
    <t>Extra Mat % USD</t>
  </si>
  <si>
    <t>JADWAL PEMBAYARAN TAHAPAN PLAN C</t>
  </si>
  <si>
    <t>Single: Mulai akhir tahun ke-1 s/d akhir masa pertanggungan</t>
  </si>
  <si>
    <t>PPP 5: Mulai akhir tahun ke-5 s/d akhir masa pertanggungan</t>
  </si>
  <si>
    <t>PPP 10: Mulai akhir tahun ke-10 s/d akhir masa pertanggungan</t>
  </si>
  <si>
    <t>STRUKTUR KOMISI MDWA</t>
  </si>
  <si>
    <t>PLAN A - ANUITAS</t>
  </si>
  <si>
    <t>Term</t>
  </si>
  <si>
    <t>Year 1</t>
  </si>
  <si>
    <t>Year 2</t>
  </si>
  <si>
    <t>4%</t>
  </si>
  <si>
    <t>5%</t>
  </si>
  <si>
    <t>10%</t>
  </si>
  <si>
    <t>15%</t>
  </si>
  <si>
    <t>12.5%</t>
  </si>
  <si>
    <t>7.5%</t>
  </si>
  <si>
    <t>-</t>
  </si>
  <si>
    <t>20yr</t>
  </si>
  <si>
    <t>30yr</t>
  </si>
  <si>
    <t>5 Pay</t>
  </si>
  <si>
    <t>10 Pay</t>
  </si>
  <si>
    <t>PLAN B - BEASISWA</t>
  </si>
  <si>
    <t>5-10yr</t>
  </si>
  <si>
    <t>11-15yr</t>
  </si>
  <si>
    <t>2%</t>
  </si>
  <si>
    <t>6%</t>
  </si>
  <si>
    <t>all</t>
  </si>
  <si>
    <t>PLAN C - COMBO</t>
  </si>
  <si>
    <t>10yr</t>
  </si>
  <si>
    <t>15yr</t>
  </si>
  <si>
    <t>PERBANDINGAN vs KOMPETITOR</t>
  </si>
  <si>
    <t>PPP 5 Tahun, Band 2, Premi Tahunan IDR 100 Juta</t>
  </si>
  <si>
    <t>Feature</t>
  </si>
  <si>
    <t>MDWA 15yr</t>
  </si>
  <si>
    <t>MDWA 20yr</t>
  </si>
  <si>
    <t>MSP 15yr</t>
  </si>
  <si>
    <t>MSP 20yr</t>
  </si>
  <si>
    <t>FI 15yr</t>
  </si>
  <si>
    <t>FI 20yr</t>
  </si>
  <si>
    <t>Tahapan/Tahun</t>
  </si>
  <si>
    <t>17.5M x 11</t>
  </si>
  <si>
    <t>20M x 16</t>
  </si>
  <si>
    <t>20M x 10</t>
  </si>
  <si>
    <t>20M x 15</t>
  </si>
  <si>
    <t>Total Tahapan</t>
  </si>
  <si>
    <t>192.5M</t>
  </si>
  <si>
    <t>320M</t>
  </si>
  <si>
    <t>200M</t>
  </si>
  <si>
    <t>300M</t>
  </si>
  <si>
    <t>Maturity</t>
  </si>
  <si>
    <t>532.5M</t>
  </si>
  <si>
    <t>540M</t>
  </si>
  <si>
    <t>500M</t>
  </si>
  <si>
    <t>525M</t>
  </si>
  <si>
    <t>Total Benefit</t>
  </si>
  <si>
    <t>725M</t>
  </si>
  <si>
    <t>860M</t>
  </si>
  <si>
    <t>692.5M</t>
  </si>
  <si>
    <t>820M</t>
  </si>
  <si>
    <t>700M</t>
  </si>
  <si>
    <t>825M</t>
  </si>
  <si>
    <t>Rasio Benefit</t>
  </si>
  <si>
    <t>145%</t>
  </si>
  <si>
    <t>172%</t>
  </si>
  <si>
    <t>139%</t>
  </si>
  <si>
    <t>164%</t>
  </si>
  <si>
    <t>140%</t>
  </si>
  <si>
    <t>165%</t>
  </si>
  <si>
    <t>Catatan:</t>
  </si>
  <si>
    <t>MSP = Manulife Saver Plus (produk lama)</t>
  </si>
  <si>
    <t>FI = Flexi Income (kompetitor)</t>
  </si>
  <si>
    <t>Rasio Benefit = Total Benefit / Total Premi (5 tahun x IDR 100 Juta = IDR 500 Juta)</t>
  </si>
  <si>
    <t>MDWA memberikan rasio benefit tertinggi di kedua masa pertanggungan.</t>
  </si>
  <si>
    <t>MANULIFE DYNAMIC WEALTH ASSURANCE (MDWA)</t>
  </si>
  <si>
    <t>Perbandingan 3 Plan MDWA</t>
  </si>
  <si>
    <t>Fitur</t>
  </si>
  <si>
    <t>Plan A - Anuitas</t>
  </si>
  <si>
    <t>Plan B - Beasiswa</t>
  </si>
  <si>
    <t>Plan C - Combo</t>
  </si>
  <si>
    <t>Konsep</t>
  </si>
  <si>
    <t>Arus kas tahunan stabil untuk perencanaan pensiun</t>
  </si>
  <si>
    <t>Lump sum di akhir masa pertanggungan untuk dana pendidikan</t>
  </si>
  <si>
    <t>Pembayaran tahunan + manfaat jatuh tempo untuk tabungan fleksibel</t>
  </si>
  <si>
    <t>Masa Pertanggungan</t>
  </si>
  <si>
    <t>20 / 30 tahun</t>
  </si>
  <si>
    <t>5-15 / 20 / 30 tahun</t>
  </si>
  <si>
    <t>10 / 15 / 20 / 30 tahun</t>
  </si>
  <si>
    <t>Manfaat Utama</t>
  </si>
  <si>
    <t>Tahapan tahunan (annual payout)</t>
  </si>
  <si>
    <t>Lump sum saat jatuh tempo (maturity)</t>
  </si>
  <si>
    <t>Tahapan tahunan + lump sum jatuh tempo</t>
  </si>
  <si>
    <t>SPESIFIKASI UMUM</t>
  </si>
  <si>
    <t>Masa Pembayaran Premi</t>
  </si>
  <si>
    <t>Premi Sekaligus (Single Premium), PPP 5 tahun, PPP 10 tahun</t>
  </si>
  <si>
    <t>Mode Pembayaran</t>
  </si>
  <si>
    <t>Tahunan (100%), Semesteran (52.5%/51.25%), Tiga Bulanan (27.5%/26.5%), Bulanan (9.5%/9%)</t>
  </si>
  <si>
    <t>Usia Masuk (Single)</t>
  </si>
  <si>
    <t>30 hari - 85 tahun</t>
  </si>
  <si>
    <t>Usia Masuk (Regular)</t>
  </si>
  <si>
    <t>30 hari - 70 tahun</t>
  </si>
  <si>
    <t>Mata Uang</t>
  </si>
  <si>
    <t>IDR dan USD</t>
  </si>
  <si>
    <t>Underwriting</t>
  </si>
  <si>
    <t>Guaranteed Issuance Offering</t>
  </si>
  <si>
    <t>Riders</t>
  </si>
  <si>
    <t>Advanced Life Protector Plus, Manulife Payor Benefit Plus, Manulife Waiver of Premium Plus</t>
  </si>
  <si>
    <t>Min. Premi Single</t>
  </si>
  <si>
    <t>IDR 50 Juta / USD 5,000</t>
  </si>
  <si>
    <t>Min. Premi Regular</t>
  </si>
  <si>
    <t>IDR 24 Juta / USD 2,400</t>
  </si>
  <si>
    <t>ADB &amp; TPD</t>
  </si>
  <si>
    <t>25% of Annual Basic Premium, dibayar tahunan sampai akhir masa pertanggungan</t>
  </si>
  <si>
    <t>PREMIUM BANDING</t>
  </si>
  <si>
    <t>Banding</t>
  </si>
  <si>
    <t>Single Premium</t>
  </si>
  <si>
    <t>Regular Premium</t>
  </si>
  <si>
    <t>Banding 1 (IDR)</t>
  </si>
  <si>
    <t>IDR 50M - &lt;500M</t>
  </si>
  <si>
    <t>IDR 24M - &lt;100M</t>
  </si>
  <si>
    <t>Banding 1 (USD)</t>
  </si>
  <si>
    <t>USD 5,000 - &lt;50,000</t>
  </si>
  <si>
    <t>USD 2,400 - &lt;10,000</t>
  </si>
  <si>
    <t>Banding 2 (IDR)</t>
  </si>
  <si>
    <t>&gt;= IDR 500M</t>
  </si>
  <si>
    <t>&gt;= IDR 100M</t>
  </si>
  <si>
    <t>Banding 2 (USD)</t>
  </si>
  <si>
    <t>&gt;= USD 50,000</t>
  </si>
  <si>
    <t>&gt;= USD 10,000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</si>
</sst>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8">
    <font>
      <sz val="10.0"/>
      <color rgb="FF000000"/>
      <name val="Arial"/>
    </font>
    <font>
      <b/>
      <sz val="10.0"/>
      <color rgb="FFFFFFFF"/>
      <name val="Arial"/>
    </font>
    <font>
      <b/>
      <sz val="14.0"/>
      <color rgb="FF1E7145"/>
      <name val="Arial"/>
    </font>
    <font>
      <b/>
      <sz val="11.0"/>
      <color rgb="FF000000"/>
      <name val="Arial"/>
    </font>
    <font>
      <sz val="9.0"/>
      <color rgb="FF333333"/>
      <name val="Arial"/>
    </font>
    <font>
      <b/>
      <sz val="12.0"/>
      <color rgb="FFFFFFFF"/>
      <name val="Arial"/>
    </font>
    <font>
      <b/>
      <sz val="11.0"/>
      <color rgb="FF0000FF"/>
      <name val="Arial"/>
    </font>
    <font>
      <i/>
      <sz val="9.0"/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7145"/>
        <bgColor rgb="FF1E7145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CC"/>
        <bgColor rgb="FFFFFFCC"/>
      </patternFill>
    </fill>
    <fill>
      <patternFill patternType="solid">
        <fgColor rgb="FFE6F3FF"/>
        <bgColor rgb="FFE6F3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</borders>
  <cellStyleXfs count="1">
    <xf borderId="0" fillId="0" fontId="0" numFmtId="0"/>
  </cellStyleXfs>
  <cellXfs count="13">
    <xf borderId="0" fillId="0" fontId="0" numFmtId="0" xfId="0" applyAlignment="1">
      <alignment vertical="center" wrapText="1"/>
    </xf>
    <xf borderId="1" fillId="2" fontId="1" numFmtId="0" xfId="0" applyAlignment="1" applyBorder="1" applyFill="1" applyFont="1">
      <alignment horizontal="center" vertical="center" wrapText="1"/>
    </xf>
    <xf borderId="1" fillId="0" fontId="0" numFmtId="0" xfId="0" applyAlignment="1" applyBorder="1">
      <alignment horizontal="center" vertical="center" wrapText="1"/>
    </xf>
    <xf borderId="0" fillId="0" fontId="2" numFmtId="0" xfId="0" applyAlignment="1" applyFont="1">
      <alignment vertical="center" wrapText="1"/>
    </xf>
    <xf borderId="1" fillId="3" fontId="0" numFmtId="0" xfId="0" applyAlignment="1" applyBorder="1" applyFill="1">
      <alignment horizontal="center" vertical="center" wrapText="1"/>
    </xf>
    <xf borderId="1" fillId="5" fontId="5" numFmtId="0" xfId="0" applyAlignment="1" applyBorder="1" applyFill="1" applyFont="1">
      <alignment horizontal="center" vertical="center" wrapText="1"/>
    </xf>
    <xf borderId="1" fillId="0" fontId="0" numFmtId="164" xfId="0" applyAlignment="1" applyBorder="1" applyNumberFormat="1">
      <alignment horizontal="center" vertical="center" wrapText="1"/>
    </xf>
    <xf borderId="0" fillId="0" fontId="3" numFmtId="0" xfId="0" applyAlignment="1" applyFont="1">
      <alignment vertical="center" wrapText="1"/>
    </xf>
    <xf borderId="2" fillId="6" fontId="6" numFmtId="0" xfId="0" applyAlignment="1" applyBorder="1" applyFill="1" applyFont="1">
      <alignment horizontal="center" vertical="center" wrapText="1"/>
    </xf>
    <xf borderId="1" fillId="7" fontId="3" numFmtId="164" xfId="0" applyAlignment="1" applyBorder="1" applyFill="1" applyFont="1" applyNumberFormat="1">
      <alignment horizontal="center" vertical="center" wrapText="1"/>
    </xf>
    <xf borderId="1" fillId="0" fontId="3" numFmtId="0" xfId="0" applyAlignment="1" applyBorder="1" applyFont="1">
      <alignment vertical="center" wrapText="1"/>
    </xf>
    <xf borderId="0" fillId="0" fontId="7" numFmtId="0" xfId="0" applyAlignment="1" applyFont="1">
      <alignment vertical="center" wrapText="1"/>
    </xf>
    <xf borderId="1" fillId="0" fontId="0" numFmtId="165" xfId="0" applyAlignment="1" applyBorder="1" applyNumberForma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MDWA">
  <a:themeElements>
    <a:clrScheme name="MDWA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E7145"/>
      </a:accent1>
      <a:accent2>
        <a:srgbClr val="00B05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MDWA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28"/>
    <col customWidth="1" min="2" max="2" width="22"/>
    <col customWidth="1" min="3" max="3" width="22"/>
    <col customWidth="1" min="4" max="4" width="25"/>
    <col customWidth="1" min="5" max="5" width="25"/>
    <col customWidth="1" min="6" max="6" width="20"/>
  </cols>
  <sheetData>
    <row r="1">
      <c r="A1" s="5" t="s">
        <v>0</v>
      </c>
    </row>
    <row r="3">
      <c r="A3" s="7" t="s">
        <v>1</v>
      </c>
    </row>
    <row r="4">
      <c r="A4" s="10" t="s">
        <v>2</v>
      </c>
      <c r="B4" s="8" t="s">
        <v>3</v>
      </c>
    </row>
    <row r="5">
      <c r="A5" s="10" t="s">
        <v>5</v>
      </c>
      <c r="B5" s="8">
        <v>30</v>
      </c>
    </row>
    <row r="6">
      <c r="A6" s="10" t="s">
        <v>6</v>
      </c>
      <c r="B6" s="8">
        <v>100000000</v>
      </c>
    </row>
    <row r="7">
      <c r="A7" s="10" t="s">
        <v>7</v>
      </c>
      <c r="B7" s="8" t="s">
        <v>8</v>
      </c>
    </row>
    <row r="8">
      <c r="A8" s="10" t="s">
        <v>11</v>
      </c>
      <c r="B8" s="8" t="s">
        <v>12</v>
      </c>
    </row>
    <row r="9">
      <c r="A9" s="10" t="s">
        <v>14</v>
      </c>
      <c r="B9" s="8" t="s">
        <v>15</v>
      </c>
    </row>
    <row r="10">
      <c r="A10" s="10" t="s">
        <v>16</v>
      </c>
      <c r="B10" s="8">
        <v>20</v>
      </c>
    </row>
    <row r="11">
      <c r="A11" s="10" t="s">
        <v>17</v>
      </c>
      <c r="B11" s="8" t="s">
        <v>18</v>
      </c>
    </row>
    <row r="13">
      <c r="A13" s="5" t="s">
        <v>19</v>
      </c>
    </row>
    <row r="14">
      <c r="A14" s="10" t="s">
        <v>20</v>
      </c>
      <c r="B14" s="9">
        <f>IF(B9="Single",IF(B5&lt;=85,"ELIGIBLE","TIDAK ELIGIBLE - Usia maks 85 tahun"),IF(B5&lt;=70,"ELIGIBLE","TIDAK ELIGIBLE - Usia maks 70 tahun untuk PPP 5/10"))</f>
        <v>0</v>
      </c>
    </row>
    <row r="15">
      <c r="A15" s="10" t="s">
        <v>21</v>
      </c>
      <c r="B15" s="9">
        <f>IF(B8="IDR",IF(B9="Single",IF(B6&gt;=500000000,"Banding 2","Banding 1"),IF(B6&gt;=100000000,"Banding 2","Banding 1")),IF(B9="Single",IF(B6&gt;=50000,"Banding 2","Banding 1"),IF(B6&gt;=10000,"Banding 2","Banding 1")))</f>
        <v>0</v>
      </c>
    </row>
    <row r="16">
      <c r="A16" s="10" t="s">
        <v>22</v>
      </c>
      <c r="B16" s="9">
        <f>IF(B8="IDR",IF(B9="Single",IF(B6&gt;=50000000,"OK - Min IDR 50 Juta","KURANG - Min IDR 50 Juta"),IF(B6&gt;=24000000,"OK - Min IDR 24 Juta","KURANG - Min IDR 24 Juta")),IF(B9="Single",IF(B6&gt;=5000,"OK - Min USD 5,000","KURANG - Min USD 5,000"),IF(B6&gt;=2400,"OK - Min USD 2,400","KURANG - Min USD 2,400")))</f>
        <v>0</v>
      </c>
    </row>
    <row r="17">
      <c r="A17" s="10" t="s">
        <v>23</v>
      </c>
      <c r="B17" s="9">
        <f>IF(B7="A",IF(OR(B10=20,B10=30),"VALID","Plan A hanya 20/30 tahun"),IF(B7="B",IF(OR(B10=5,B10=6,B10=7,B10=8,B10=9,B10=10,B10=11,B10=12,B10=13,B10=14,B10=15,B10=20,B10=30),"VALID","Plan B: 5-15/20/30 tahun"),IF(OR(B10=10,B10=15,B10=20,B10=30),"VALID","Plan C hanya 10/15/20/30 tahun")))</f>
        <v>0</v>
      </c>
    </row>
    <row r="18">
      <c r="A18" s="10" t="s">
        <v>24</v>
      </c>
      <c r="B18" s="9">
        <f>IF(B9="Single","VALID",IF(B9="5",IF(B10&gt;5,"VALID","Coverage harus &gt; PPP"),IF(B10&gt;10,"VALID","Coverage harus &gt; PPP")))</f>
        <v>0</v>
      </c>
    </row>
    <row r="20">
      <c r="A20" s="5" t="s">
        <v>25</v>
      </c>
    </row>
    <row r="21">
      <c r="A21" s="10" t="s">
        <v>26</v>
      </c>
      <c r="B21" s="9">
        <f>IF(B7="A",INDEX(DATA_PLAN_A!C:C,MATCH(B9&amp;"_"&amp;B10,DATA_PLAN_A!A:A,0)),IF(B7="C",INDEX(DATA_PLAN_C!C:C,MATCH(B9&amp;"_"&amp;B10,DATA_PLAN_C!A:A,0)),0))</f>
        <v>0</v>
      </c>
      <c r="C21" s="11" t="s">
        <v>27</v>
      </c>
    </row>
    <row r="22">
      <c r="A22" s="10" t="s">
        <v>28</v>
      </c>
      <c r="B22" s="9">
        <f>IF(B7="B",0,B21*B6/100)</f>
        <v>0</v>
      </c>
      <c r="C22" s="11" t="s">
        <v>29</v>
      </c>
    </row>
    <row r="23">
      <c r="A23" s="10" t="s">
        <v>30</v>
      </c>
      <c r="B23" s="9">
        <f>IF(B7="B",INDEX(DATA_PLAN_B!C:C,MATCH(B9&amp;"_"&amp;B10,DATA_PLAN_B!A:A,0)),IF(B7="C",INDEX(DATA_PLAN_C!D:D,MATCH(B9&amp;"_"&amp;B10,DATA_PLAN_C!A:A,0)),0))</f>
        <v>0</v>
      </c>
      <c r="C23" s="11" t="s">
        <v>27</v>
      </c>
    </row>
    <row r="24">
      <c r="A24" s="10" t="s">
        <v>31</v>
      </c>
      <c r="B24" s="9">
        <f>B23*B6/100</f>
        <v>0</v>
      </c>
    </row>
    <row r="25">
      <c r="A25" s="10" t="s">
        <v>32</v>
      </c>
      <c r="B25" s="9">
        <f>IF(B15="Banding 1",0,IF(B7="A",INDEX(DATA_PLAN_A!D:D,MATCH(B9&amp;"_"&amp;B10,DATA_PLAN_A!A:A,0)),IF(B7="B",INDEX(DATA_PLAN_B!D:D,MATCH(B9&amp;"_"&amp;B10,DATA_PLAN_B!A:A,0)),INDEX(DATA_PLAN_C!E:E,MATCH(B9&amp;"_"&amp;B10,DATA_PLAN_C!A:A,0)))))</f>
        <v>0</v>
      </c>
    </row>
    <row r="26">
      <c r="A26" s="10" t="s">
        <v>33</v>
      </c>
      <c r="B26" s="9">
        <f>B25*B6/100</f>
        <v>0</v>
      </c>
    </row>
    <row r="28">
      <c r="A28" s="10" t="s">
        <v>34</v>
      </c>
      <c r="B28" s="9">
        <f>IF(B7="B","N/A (lump sum di akhir)",IF(B9="Single","Tahun ke-6",IF(B9="5","Tahun ke-10","Tahun ke-15")))</f>
        <v>0</v>
      </c>
    </row>
    <row r="29">
      <c r="A29" s="10" t="s">
        <v>35</v>
      </c>
      <c r="B29" s="9">
        <f>IF(B7="B",0,IF(B9="Single",B10-5,IF(B9="5",B10-9,B10-14)))</f>
        <v>0</v>
      </c>
    </row>
    <row r="30">
      <c r="A30" s="10" t="s">
        <v>36</v>
      </c>
      <c r="B30" s="9">
        <f>IF(B7="B",0,B22*B29)</f>
        <v>0</v>
      </c>
    </row>
    <row r="31">
      <c r="A31" s="7" t="s">
        <v>37</v>
      </c>
      <c r="B31" s="9">
        <f>B30+B24+B26</f>
        <v>0</v>
      </c>
    </row>
    <row r="33">
      <c r="A33" s="5" t="s">
        <v>38</v>
      </c>
    </row>
    <row r="34">
      <c r="A34" s="10" t="s">
        <v>39</v>
      </c>
      <c r="B34" s="9">
        <f>IF(B9="Single",B6*0.25/B10,B6*0.25)</f>
        <v>0</v>
      </c>
      <c r="C34" s="11" t="s">
        <v>40</v>
      </c>
    </row>
    <row r="35">
      <c r="A35" s="10" t="s">
        <v>41</v>
      </c>
      <c r="B35" s="9">
        <f>B34*B10</f>
        <v>0</v>
      </c>
    </row>
    <row r="37">
      <c r="A37" s="5" t="s">
        <v>42</v>
      </c>
    </row>
    <row r="38">
      <c r="A38" s="10" t="s">
        <v>43</v>
      </c>
      <c r="B38" s="9">
        <f>B6</f>
        <v>0</v>
      </c>
    </row>
    <row r="39">
      <c r="A39" s="10" t="s">
        <v>44</v>
      </c>
      <c r="B39" s="9">
        <f>IF(B8="IDR",B6*0.525,B6*0.5125)</f>
        <v>0</v>
      </c>
      <c r="C39" s="11" t="s">
        <v>45</v>
      </c>
    </row>
    <row r="40">
      <c r="A40" s="10" t="s">
        <v>46</v>
      </c>
      <c r="B40" s="9">
        <f>IF(B8="IDR",B6*0.275,B6*0.265)</f>
        <v>0</v>
      </c>
      <c r="C40" s="11" t="s">
        <v>47</v>
      </c>
    </row>
    <row r="41">
      <c r="A41" s="10" t="s">
        <v>48</v>
      </c>
      <c r="B41" s="9">
        <f>IF(B8="IDR",B6*0.095,B6*0.09)</f>
        <v>0</v>
      </c>
      <c r="C41" s="11" t="s">
        <v>49</v>
      </c>
    </row>
    <row r="43">
      <c r="A43" s="7" t="s">
        <v>50</v>
      </c>
    </row>
    <row r="44">
      <c r="A44" s="11" t="s">
        <v>51</v>
      </c>
    </row>
    <row r="45">
      <c r="A45" s="11" t="s">
        <v>52</v>
      </c>
    </row>
    <row r="46">
      <c r="A46" s="11" t="s">
        <v>53</v>
      </c>
    </row>
    <row r="47">
      <c r="A47" s="11" t="s">
        <v>54</v>
      </c>
    </row>
    <row r="48">
      <c r="A48" s="11" t="s">
        <v>55</v>
      </c>
    </row>
    <row r="49">
      <c r="A49" s="11" t="s">
        <v>56</v>
      </c>
    </row>
    <row r="50">
      <c r="A50" s="11" t="s">
        <v>57</v>
      </c>
    </row>
  </sheetData>
  <mergeCells count="5">
    <mergeCell ref="A1:F1"/>
    <mergeCell ref="A13:F13"/>
    <mergeCell ref="A20:F20"/>
    <mergeCell ref="A33:F33"/>
    <mergeCell ref="A37:F37"/>
  </mergeCells>
  <dataValidations count="6">
    <dataValidation type="list" sqref="B4" allowBlank="1" showInputMessage="1" showErrorMessage="1">
      <formula1>"Pria,Wanita"</formula1>
    </dataValidation>
    <dataValidation type="list" sqref="B7" allowBlank="1" showInputMessage="1" showErrorMessage="1">
      <formula1>"A,B,C"</formula1>
    </dataValidation>
    <dataValidation type="list" sqref="B8" allowBlank="1" showInputMessage="1" showErrorMessage="1">
      <formula1>"IDR,USD"</formula1>
    </dataValidation>
    <dataValidation type="list" sqref="B9" allowBlank="1" showInputMessage="1" showErrorMessage="1">
      <formula1>"Single,5,10"</formula1>
    </dataValidation>
    <dataValidation type="list" sqref="B10" allowBlank="1" showInputMessage="1" showErrorMessage="1">
      <formula1>"5,6,7,8,9,10,11,12,13,14,15,20,30"</formula1>
    </dataValidation>
    <dataValidation type="list" sqref="B11" allowBlank="1" showInputMessage="1" showErrorMessage="1">
      <formula1>"Tahunan,Semesteran,Triwulanan,Bulanan"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18"/>
    <col customWidth="1" min="2" max="2" width="18"/>
    <col customWidth="1" min="3" max="3" width="20"/>
    <col customWidth="1" min="4" max="4" width="20"/>
    <col customWidth="1" min="5" max="5" width="20"/>
    <col customWidth="1" min="6" max="6" width="20"/>
    <col customWidth="1" min="7" max="7" width="18"/>
  </cols>
  <sheetData>
    <row r="1">
      <c r="A1" s="5" t="s">
        <v>58</v>
      </c>
    </row>
    <row r="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</row>
    <row r="4">
      <c r="A4" s="2" t="s">
        <v>66</v>
      </c>
      <c r="B4" s="2" t="s">
        <v>15</v>
      </c>
      <c r="C4" s="6">
        <v>9.5</v>
      </c>
      <c r="D4" s="6">
        <v>6</v>
      </c>
      <c r="E4" s="6">
        <v>8.25</v>
      </c>
      <c r="F4" s="6">
        <v>3</v>
      </c>
      <c r="G4" s="6">
        <v>6</v>
      </c>
    </row>
    <row r="5">
      <c r="A5" s="2" t="s">
        <v>67</v>
      </c>
      <c r="B5" s="2" t="s">
        <v>15</v>
      </c>
      <c r="C5" s="6">
        <v>7</v>
      </c>
      <c r="D5" s="6">
        <v>9</v>
      </c>
      <c r="E5" s="6">
        <v>5.5</v>
      </c>
      <c r="F5" s="6">
        <v>4.5</v>
      </c>
      <c r="G5" s="6">
        <v>6</v>
      </c>
    </row>
    <row r="6">
      <c r="A6" s="2" t="s">
        <v>68</v>
      </c>
      <c r="B6" s="2" t="s">
        <v>72</v>
      </c>
      <c r="C6" s="6">
        <v>65</v>
      </c>
      <c r="D6" s="6">
        <v>30</v>
      </c>
      <c r="E6" s="6">
        <v>55</v>
      </c>
      <c r="F6" s="6">
        <v>15</v>
      </c>
      <c r="G6" s="6">
        <v>10</v>
      </c>
    </row>
    <row r="7">
      <c r="A7" s="2" t="s">
        <v>69</v>
      </c>
      <c r="B7" s="2" t="s">
        <v>72</v>
      </c>
      <c r="C7" s="6">
        <v>40</v>
      </c>
      <c r="D7" s="6">
        <v>45</v>
      </c>
      <c r="E7" s="6">
        <v>32.5</v>
      </c>
      <c r="F7" s="6">
        <v>22.5</v>
      </c>
      <c r="G7" s="6">
        <v>10</v>
      </c>
    </row>
    <row r="8">
      <c r="A8" s="2" t="s">
        <v>70</v>
      </c>
      <c r="B8" s="2" t="s">
        <v>73</v>
      </c>
      <c r="C8" s="6">
        <v>235</v>
      </c>
      <c r="D8" s="6">
        <v>60</v>
      </c>
      <c r="E8" s="6">
        <v>205</v>
      </c>
      <c r="F8" s="6">
        <v>30</v>
      </c>
      <c r="G8" s="6">
        <v>15</v>
      </c>
    </row>
    <row r="9">
      <c r="A9" s="2" t="s">
        <v>71</v>
      </c>
      <c r="B9" s="2" t="s">
        <v>73</v>
      </c>
      <c r="C9" s="6">
        <v>105</v>
      </c>
      <c r="D9" s="6">
        <v>90</v>
      </c>
      <c r="E9" s="6">
        <v>85</v>
      </c>
      <c r="F9" s="6">
        <v>45</v>
      </c>
      <c r="G9" s="6">
        <v>15</v>
      </c>
    </row>
    <row r="12">
      <c r="A12" s="7" t="s">
        <v>74</v>
      </c>
    </row>
    <row r="13">
      <c r="A13" s="0" t="s">
        <v>75</v>
      </c>
    </row>
    <row r="14">
      <c r="A14" s="0" t="s">
        <v>76</v>
      </c>
    </row>
    <row r="15">
      <c r="A15" s="0" t="s">
        <v>77</v>
      </c>
    </row>
    <row r="17">
      <c r="A17" s="7" t="s">
        <v>50</v>
      </c>
    </row>
    <row r="18">
      <c r="A18" s="0" t="s">
        <v>78</v>
      </c>
    </row>
    <row r="19">
      <c r="A19" s="0" t="s">
        <v>79</v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18"/>
    <col customWidth="1" min="2" max="2" width="18"/>
    <col customWidth="1" min="3" max="3" width="22"/>
    <col customWidth="1" min="4" max="4" width="22"/>
    <col customWidth="1" min="5" max="5" width="22"/>
    <col customWidth="1" min="6" max="6" width="22"/>
  </cols>
  <sheetData>
    <row r="1">
      <c r="A1" s="5" t="s">
        <v>80</v>
      </c>
    </row>
    <row r="3">
      <c r="A3" s="1" t="s">
        <v>59</v>
      </c>
      <c r="B3" s="1" t="s">
        <v>60</v>
      </c>
      <c r="C3" s="1" t="s">
        <v>81</v>
      </c>
      <c r="D3" s="1" t="s">
        <v>62</v>
      </c>
      <c r="E3" s="1" t="s">
        <v>82</v>
      </c>
      <c r="F3" s="1" t="s">
        <v>64</v>
      </c>
    </row>
    <row r="4">
      <c r="A4" s="2" t="s">
        <v>83</v>
      </c>
      <c r="B4" s="2" t="s">
        <v>15</v>
      </c>
      <c r="C4" s="6">
        <v>110</v>
      </c>
      <c r="D4" s="6">
        <v>1.5</v>
      </c>
      <c r="E4" s="6">
        <v>105</v>
      </c>
      <c r="F4" s="6">
        <v>0.75</v>
      </c>
    </row>
    <row r="5">
      <c r="A5" s="2" t="s">
        <v>84</v>
      </c>
      <c r="B5" s="2" t="s">
        <v>15</v>
      </c>
      <c r="C5" s="6">
        <v>115</v>
      </c>
      <c r="D5" s="6">
        <v>1.8</v>
      </c>
      <c r="E5" s="6">
        <v>106</v>
      </c>
      <c r="F5" s="6">
        <v>0.9</v>
      </c>
    </row>
    <row r="6">
      <c r="A6" s="2" t="s">
        <v>85</v>
      </c>
      <c r="B6" s="2" t="s">
        <v>15</v>
      </c>
      <c r="C6" s="6">
        <v>120</v>
      </c>
      <c r="D6" s="6">
        <v>2.1</v>
      </c>
      <c r="E6" s="6">
        <v>108</v>
      </c>
      <c r="F6" s="6">
        <v>1.05</v>
      </c>
    </row>
    <row r="7">
      <c r="A7" s="2" t="s">
        <v>86</v>
      </c>
      <c r="B7" s="2" t="s">
        <v>15</v>
      </c>
      <c r="C7" s="6">
        <v>125</v>
      </c>
      <c r="D7" s="6">
        <v>2.4</v>
      </c>
      <c r="E7" s="6">
        <v>110</v>
      </c>
      <c r="F7" s="6">
        <v>1.2</v>
      </c>
    </row>
    <row r="8">
      <c r="A8" s="2" t="s">
        <v>87</v>
      </c>
      <c r="B8" s="2" t="s">
        <v>15</v>
      </c>
      <c r="C8" s="6">
        <v>130</v>
      </c>
      <c r="D8" s="6">
        <v>2.7</v>
      </c>
      <c r="E8" s="6">
        <v>112</v>
      </c>
      <c r="F8" s="6">
        <v>1.35</v>
      </c>
    </row>
    <row r="9">
      <c r="A9" s="2" t="s">
        <v>88</v>
      </c>
      <c r="B9" s="2" t="s">
        <v>15</v>
      </c>
      <c r="C9" s="6">
        <v>135</v>
      </c>
      <c r="D9" s="6">
        <v>3</v>
      </c>
      <c r="E9" s="6">
        <v>114</v>
      </c>
      <c r="F9" s="6">
        <v>1.5</v>
      </c>
    </row>
    <row r="10">
      <c r="A10" s="2" t="s">
        <v>89</v>
      </c>
      <c r="B10" s="2" t="s">
        <v>15</v>
      </c>
      <c r="C10" s="6">
        <v>140</v>
      </c>
      <c r="D10" s="6">
        <v>3.3</v>
      </c>
      <c r="E10" s="6">
        <v>116</v>
      </c>
      <c r="F10" s="6">
        <v>1.65</v>
      </c>
    </row>
    <row r="11">
      <c r="A11" s="2" t="s">
        <v>90</v>
      </c>
      <c r="B11" s="2" t="s">
        <v>15</v>
      </c>
      <c r="C11" s="6">
        <v>145</v>
      </c>
      <c r="D11" s="6">
        <v>3.6</v>
      </c>
      <c r="E11" s="6">
        <v>120</v>
      </c>
      <c r="F11" s="6">
        <v>1.8</v>
      </c>
    </row>
    <row r="12">
      <c r="A12" s="2" t="s">
        <v>91</v>
      </c>
      <c r="B12" s="2" t="s">
        <v>15</v>
      </c>
      <c r="C12" s="6">
        <v>150</v>
      </c>
      <c r="D12" s="6">
        <v>3.9</v>
      </c>
      <c r="E12" s="6">
        <v>125</v>
      </c>
      <c r="F12" s="6">
        <v>1.95</v>
      </c>
    </row>
    <row r="13">
      <c r="A13" s="2" t="s">
        <v>92</v>
      </c>
      <c r="B13" s="2" t="s">
        <v>15</v>
      </c>
      <c r="C13" s="6">
        <v>155</v>
      </c>
      <c r="D13" s="6">
        <v>4.2</v>
      </c>
      <c r="E13" s="6">
        <v>130</v>
      </c>
      <c r="F13" s="6">
        <v>2.1</v>
      </c>
    </row>
    <row r="14">
      <c r="A14" s="2" t="s">
        <v>93</v>
      </c>
      <c r="B14" s="2" t="s">
        <v>15</v>
      </c>
      <c r="C14" s="6">
        <v>160</v>
      </c>
      <c r="D14" s="6">
        <v>4.5</v>
      </c>
      <c r="E14" s="6">
        <v>135</v>
      </c>
      <c r="F14" s="6">
        <v>2.25</v>
      </c>
    </row>
    <row r="15">
      <c r="A15" s="2" t="s">
        <v>66</v>
      </c>
      <c r="B15" s="2" t="s">
        <v>15</v>
      </c>
      <c r="C15" s="6">
        <v>200</v>
      </c>
      <c r="D15" s="6">
        <v>6</v>
      </c>
      <c r="E15" s="6">
        <v>160</v>
      </c>
      <c r="F15" s="6">
        <v>3</v>
      </c>
    </row>
    <row r="16">
      <c r="A16" s="2" t="s">
        <v>67</v>
      </c>
      <c r="B16" s="2" t="s">
        <v>15</v>
      </c>
      <c r="C16" s="6">
        <v>325</v>
      </c>
      <c r="D16" s="6">
        <v>9</v>
      </c>
      <c r="E16" s="6">
        <v>200</v>
      </c>
      <c r="F16" s="6">
        <v>4.5</v>
      </c>
    </row>
    <row r="17">
      <c r="A17" s="2" t="s">
        <v>94</v>
      </c>
      <c r="B17" s="2" t="s">
        <v>72</v>
      </c>
      <c r="C17" s="6">
        <v>600</v>
      </c>
      <c r="D17" s="6">
        <v>15</v>
      </c>
      <c r="E17" s="6">
        <v>535</v>
      </c>
      <c r="F17" s="6">
        <v>7.5</v>
      </c>
    </row>
    <row r="18">
      <c r="A18" s="2" t="s">
        <v>95</v>
      </c>
      <c r="B18" s="2" t="s">
        <v>72</v>
      </c>
      <c r="C18" s="6">
        <v>625</v>
      </c>
      <c r="D18" s="6">
        <v>16.5</v>
      </c>
      <c r="E18" s="6">
        <v>545</v>
      </c>
      <c r="F18" s="6">
        <v>8.25</v>
      </c>
    </row>
    <row r="19">
      <c r="A19" s="2" t="s">
        <v>96</v>
      </c>
      <c r="B19" s="2" t="s">
        <v>72</v>
      </c>
      <c r="C19" s="6">
        <v>650</v>
      </c>
      <c r="D19" s="6">
        <v>18</v>
      </c>
      <c r="E19" s="6">
        <v>555</v>
      </c>
      <c r="F19" s="6">
        <v>9</v>
      </c>
    </row>
    <row r="20">
      <c r="A20" s="2" t="s">
        <v>97</v>
      </c>
      <c r="B20" s="2" t="s">
        <v>72</v>
      </c>
      <c r="C20" s="6">
        <v>675</v>
      </c>
      <c r="D20" s="6">
        <v>19.5</v>
      </c>
      <c r="E20" s="6">
        <v>565</v>
      </c>
      <c r="F20" s="6">
        <v>9.75</v>
      </c>
    </row>
    <row r="21">
      <c r="A21" s="2" t="s">
        <v>98</v>
      </c>
      <c r="B21" s="2" t="s">
        <v>72</v>
      </c>
      <c r="C21" s="6">
        <v>700</v>
      </c>
      <c r="D21" s="6">
        <v>21</v>
      </c>
      <c r="E21" s="6">
        <v>575</v>
      </c>
      <c r="F21" s="6">
        <v>10.5</v>
      </c>
    </row>
    <row r="22">
      <c r="A22" s="2" t="s">
        <v>99</v>
      </c>
      <c r="B22" s="2" t="s">
        <v>72</v>
      </c>
      <c r="C22" s="6">
        <v>725</v>
      </c>
      <c r="D22" s="6">
        <v>22.5</v>
      </c>
      <c r="E22" s="6">
        <v>600</v>
      </c>
      <c r="F22" s="6">
        <v>11.25</v>
      </c>
    </row>
    <row r="23">
      <c r="A23" s="2" t="s">
        <v>68</v>
      </c>
      <c r="B23" s="2" t="s">
        <v>72</v>
      </c>
      <c r="C23" s="6">
        <v>950</v>
      </c>
      <c r="D23" s="6">
        <v>30</v>
      </c>
      <c r="E23" s="6">
        <v>700</v>
      </c>
      <c r="F23" s="6">
        <v>15</v>
      </c>
    </row>
    <row r="24">
      <c r="A24" s="2" t="s">
        <v>69</v>
      </c>
      <c r="B24" s="2" t="s">
        <v>72</v>
      </c>
      <c r="C24" s="6">
        <v>1625</v>
      </c>
      <c r="D24" s="6">
        <v>45</v>
      </c>
      <c r="E24" s="6">
        <v>950</v>
      </c>
      <c r="F24" s="6">
        <v>22.5</v>
      </c>
    </row>
    <row r="25">
      <c r="A25" s="2" t="s">
        <v>100</v>
      </c>
      <c r="B25" s="2" t="s">
        <v>73</v>
      </c>
      <c r="C25" s="6">
        <v>1350</v>
      </c>
      <c r="D25" s="6">
        <v>45</v>
      </c>
      <c r="E25" s="6">
        <v>1175</v>
      </c>
      <c r="F25" s="6">
        <v>22.5</v>
      </c>
    </row>
    <row r="26">
      <c r="A26" s="2" t="s">
        <v>70</v>
      </c>
      <c r="B26" s="2" t="s">
        <v>73</v>
      </c>
      <c r="C26" s="6">
        <v>1800</v>
      </c>
      <c r="D26" s="6">
        <v>60</v>
      </c>
      <c r="E26" s="6">
        <v>1350</v>
      </c>
      <c r="F26" s="6">
        <v>30</v>
      </c>
    </row>
    <row r="27">
      <c r="A27" s="2" t="s">
        <v>71</v>
      </c>
      <c r="B27" s="2" t="s">
        <v>73</v>
      </c>
      <c r="C27" s="6">
        <v>3250</v>
      </c>
      <c r="D27" s="6">
        <v>90</v>
      </c>
      <c r="E27" s="6">
        <v>1800</v>
      </c>
      <c r="F27" s="6">
        <v>45</v>
      </c>
    </row>
  </sheetData>
  <mergeCells count="1">
    <mergeCell ref="A1:F1"/>
  </mergeCells>
</worksheet>
</file>

<file path=xl/worksheets/sheet4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18"/>
    <col customWidth="1" min="2" max="2" width="18"/>
    <col customWidth="1" min="3" max="3" width="18"/>
    <col customWidth="1" min="4" max="4" width="18"/>
    <col customWidth="1" min="5" max="5" width="18"/>
    <col customWidth="1" min="6" max="6" width="18"/>
    <col customWidth="1" min="7" max="7" width="18"/>
    <col customWidth="1" min="8" max="8" width="18"/>
  </cols>
  <sheetData>
    <row r="1">
      <c r="A1" s="5" t="s">
        <v>101</v>
      </c>
    </row>
    <row r="3">
      <c r="A3" s="1" t="s">
        <v>59</v>
      </c>
      <c r="B3" s="1" t="s">
        <v>60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</row>
    <row r="4">
      <c r="A4" s="2" t="s">
        <v>88</v>
      </c>
      <c r="B4" s="2" t="s">
        <v>15</v>
      </c>
      <c r="C4" s="6">
        <v>2</v>
      </c>
      <c r="D4" s="6">
        <v>105</v>
      </c>
      <c r="E4" s="6">
        <v>3</v>
      </c>
      <c r="F4" s="6">
        <v>1</v>
      </c>
      <c r="G4" s="6">
        <v>100</v>
      </c>
      <c r="H4" s="6">
        <v>1</v>
      </c>
    </row>
    <row r="5">
      <c r="A5" s="2" t="s">
        <v>93</v>
      </c>
      <c r="B5" s="2" t="s">
        <v>15</v>
      </c>
      <c r="C5" s="6">
        <v>2</v>
      </c>
      <c r="D5" s="6">
        <v>120</v>
      </c>
      <c r="E5" s="6">
        <v>5</v>
      </c>
      <c r="F5" s="6">
        <v>1</v>
      </c>
      <c r="G5" s="6">
        <v>110</v>
      </c>
      <c r="H5" s="6">
        <v>2.25</v>
      </c>
    </row>
    <row r="6">
      <c r="A6" s="2" t="s">
        <v>66</v>
      </c>
      <c r="B6" s="2" t="s">
        <v>15</v>
      </c>
      <c r="C6" s="6">
        <v>2</v>
      </c>
      <c r="D6" s="6">
        <v>135</v>
      </c>
      <c r="E6" s="6">
        <v>6</v>
      </c>
      <c r="F6" s="6">
        <v>1</v>
      </c>
      <c r="G6" s="6">
        <v>120</v>
      </c>
      <c r="H6" s="6">
        <v>3</v>
      </c>
    </row>
    <row r="7">
      <c r="A7" s="2" t="s">
        <v>67</v>
      </c>
      <c r="B7" s="2" t="s">
        <v>15</v>
      </c>
      <c r="C7" s="6">
        <v>2</v>
      </c>
      <c r="D7" s="6">
        <v>170</v>
      </c>
      <c r="E7" s="6">
        <v>9</v>
      </c>
      <c r="F7" s="6">
        <v>1</v>
      </c>
      <c r="G7" s="6">
        <v>140</v>
      </c>
      <c r="H7" s="6">
        <v>5</v>
      </c>
    </row>
    <row r="8">
      <c r="A8" s="2" t="s">
        <v>94</v>
      </c>
      <c r="B8" s="2" t="s">
        <v>72</v>
      </c>
      <c r="C8" s="6">
        <v>13.5</v>
      </c>
      <c r="D8" s="6">
        <v>510</v>
      </c>
      <c r="E8" s="6">
        <v>15</v>
      </c>
      <c r="F8" s="6">
        <v>5</v>
      </c>
      <c r="G8" s="6">
        <v>500</v>
      </c>
      <c r="H8" s="6">
        <v>8</v>
      </c>
    </row>
    <row r="9">
      <c r="A9" s="2" t="s">
        <v>99</v>
      </c>
      <c r="B9" s="2" t="s">
        <v>72</v>
      </c>
      <c r="C9" s="6">
        <v>17.5</v>
      </c>
      <c r="D9" s="6">
        <v>510</v>
      </c>
      <c r="E9" s="6">
        <v>23</v>
      </c>
      <c r="F9" s="6">
        <v>8</v>
      </c>
      <c r="G9" s="6">
        <v>500</v>
      </c>
      <c r="H9" s="6">
        <v>11.25</v>
      </c>
    </row>
    <row r="10">
      <c r="A10" s="2" t="s">
        <v>68</v>
      </c>
      <c r="B10" s="2" t="s">
        <v>72</v>
      </c>
      <c r="C10" s="6">
        <v>20</v>
      </c>
      <c r="D10" s="6">
        <v>510</v>
      </c>
      <c r="E10" s="6">
        <v>30</v>
      </c>
      <c r="F10" s="6">
        <v>11</v>
      </c>
      <c r="G10" s="6">
        <v>500</v>
      </c>
      <c r="H10" s="6">
        <v>15</v>
      </c>
    </row>
    <row r="11">
      <c r="A11" s="2" t="s">
        <v>69</v>
      </c>
      <c r="B11" s="2" t="s">
        <v>72</v>
      </c>
      <c r="C11" s="6">
        <v>20</v>
      </c>
      <c r="D11" s="6">
        <v>510</v>
      </c>
      <c r="E11" s="6">
        <v>45</v>
      </c>
      <c r="F11" s="6">
        <v>11</v>
      </c>
      <c r="G11" s="6">
        <v>500</v>
      </c>
      <c r="H11" s="6">
        <v>23</v>
      </c>
    </row>
    <row r="12">
      <c r="A12" s="2" t="s">
        <v>100</v>
      </c>
      <c r="B12" s="2" t="s">
        <v>73</v>
      </c>
      <c r="C12" s="6">
        <v>40</v>
      </c>
      <c r="D12" s="6">
        <v>1000</v>
      </c>
      <c r="E12" s="6">
        <v>45</v>
      </c>
      <c r="F12" s="6">
        <v>20</v>
      </c>
      <c r="G12" s="6">
        <v>1000</v>
      </c>
      <c r="H12" s="6">
        <v>23</v>
      </c>
    </row>
    <row r="13">
      <c r="A13" s="2" t="s">
        <v>70</v>
      </c>
      <c r="B13" s="2" t="s">
        <v>73</v>
      </c>
      <c r="C13" s="6">
        <v>40</v>
      </c>
      <c r="D13" s="6">
        <v>1100</v>
      </c>
      <c r="E13" s="6">
        <v>60</v>
      </c>
      <c r="F13" s="6">
        <v>20</v>
      </c>
      <c r="G13" s="6">
        <v>1100</v>
      </c>
      <c r="H13" s="6">
        <v>30</v>
      </c>
    </row>
    <row r="14">
      <c r="A14" s="2" t="s">
        <v>71</v>
      </c>
      <c r="B14" s="2" t="s">
        <v>73</v>
      </c>
      <c r="C14" s="6">
        <v>40</v>
      </c>
      <c r="D14" s="6">
        <v>1200</v>
      </c>
      <c r="E14" s="6">
        <v>90</v>
      </c>
      <c r="F14" s="6">
        <v>20</v>
      </c>
      <c r="G14" s="6">
        <v>1150</v>
      </c>
      <c r="H14" s="6">
        <v>45</v>
      </c>
    </row>
    <row r="17">
      <c r="A17" s="7" t="s">
        <v>108</v>
      </c>
    </row>
    <row r="18">
      <c r="A18" s="0" t="s">
        <v>109</v>
      </c>
    </row>
    <row r="19">
      <c r="A19" s="0" t="s">
        <v>110</v>
      </c>
    </row>
    <row r="20">
      <c r="A20" s="0" t="s">
        <v>111</v>
      </c>
    </row>
  </sheetData>
  <mergeCells count="1">
    <mergeCell ref="A1:H1"/>
  </mergeCells>
</worksheet>
</file>

<file path=xl/worksheets/sheet5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20"/>
    <col customWidth="1" min="2" max="2" width="18"/>
    <col customWidth="1" min="3" max="3" width="15"/>
    <col customWidth="1" min="4" max="4" width="15"/>
  </cols>
  <sheetData>
    <row r="1">
      <c r="A1" s="5" t="s">
        <v>112</v>
      </c>
    </row>
    <row r="3">
      <c r="A3" s="7" t="s">
        <v>113</v>
      </c>
    </row>
    <row r="4">
      <c r="A4" s="1" t="s">
        <v>114</v>
      </c>
      <c r="B4" s="1" t="inlineStr">
        <is>
          <t>Coverage</t>
        </is>
      </c>
      <c r="C4" s="1" t="s">
        <v>115</v>
      </c>
      <c r="D4" s="1" t="s">
        <v>116</v>
      </c>
    </row>
    <row r="5">
      <c r="A5" s="2" t="s">
        <v>15</v>
      </c>
      <c r="B5" s="2" t="s">
        <v>124</v>
      </c>
      <c r="C5" s="2" t="s">
        <v>117</v>
      </c>
      <c r="D5" s="2" t="s">
        <v>123</v>
      </c>
    </row>
    <row r="6">
      <c r="A6" s="2" t="s">
        <v>15</v>
      </c>
      <c r="B6" s="2" t="s">
        <v>125</v>
      </c>
      <c r="C6" s="2" t="s">
        <v>117</v>
      </c>
      <c r="D6" s="2" t="s">
        <v>123</v>
      </c>
    </row>
    <row r="7">
      <c r="A7" s="2" t="s">
        <v>126</v>
      </c>
      <c r="B7" s="2" t="s">
        <v>124</v>
      </c>
      <c r="C7" s="2" t="s">
        <v>118</v>
      </c>
      <c r="D7" s="2" t="s">
        <v>118</v>
      </c>
    </row>
    <row r="8">
      <c r="A8" s="2" t="s">
        <v>126</v>
      </c>
      <c r="B8" s="2" t="s">
        <v>125</v>
      </c>
      <c r="C8" s="2" t="s">
        <v>118</v>
      </c>
      <c r="D8" s="2" t="s">
        <v>118</v>
      </c>
    </row>
    <row r="9">
      <c r="A9" s="2" t="s">
        <v>127</v>
      </c>
      <c r="B9" s="2" t="s">
        <v>124</v>
      </c>
      <c r="C9" s="2" t="s">
        <v>120</v>
      </c>
      <c r="D9" s="2" t="s">
        <v>119</v>
      </c>
    </row>
    <row r="10">
      <c r="A10" s="2" t="s">
        <v>127</v>
      </c>
      <c r="B10" s="2" t="s">
        <v>125</v>
      </c>
      <c r="C10" s="2" t="s">
        <v>120</v>
      </c>
      <c r="D10" s="2" t="s">
        <v>119</v>
      </c>
    </row>
    <row r="12">
      <c r="A12" s="7" t="s">
        <v>128</v>
      </c>
    </row>
    <row r="13">
      <c r="A13" s="1" t="s">
        <v>114</v>
      </c>
      <c r="B13" s="1" t="inlineStr">
        <is>
          <t>Coverage</t>
        </is>
      </c>
      <c r="C13" s="1" t="s">
        <v>115</v>
      </c>
      <c r="D13" s="1" t="s">
        <v>116</v>
      </c>
    </row>
    <row r="14">
      <c r="A14" s="2" t="s">
        <v>15</v>
      </c>
      <c r="B14" s="2" t="s">
        <v>129</v>
      </c>
      <c r="C14" s="2" t="s">
        <v>131</v>
      </c>
      <c r="D14" s="2" t="s">
        <v>123</v>
      </c>
    </row>
    <row r="15">
      <c r="A15" s="2" t="s">
        <v>15</v>
      </c>
      <c r="B15" s="2" t="s">
        <v>130</v>
      </c>
      <c r="C15" s="2" t="s">
        <v>118</v>
      </c>
      <c r="D15" s="2" t="s">
        <v>123</v>
      </c>
    </row>
    <row r="16">
      <c r="A16" s="2" t="s">
        <v>15</v>
      </c>
      <c r="B16" s="2" t="s">
        <v>124</v>
      </c>
      <c r="C16" s="2" t="s">
        <v>118</v>
      </c>
      <c r="D16" s="2" t="s">
        <v>123</v>
      </c>
    </row>
    <row r="17">
      <c r="A17" s="2" t="s">
        <v>15</v>
      </c>
      <c r="B17" s="2" t="s">
        <v>125</v>
      </c>
      <c r="C17" s="2" t="s">
        <v>132</v>
      </c>
      <c r="D17" s="2" t="s">
        <v>123</v>
      </c>
    </row>
    <row r="18">
      <c r="A18" s="2" t="s">
        <v>126</v>
      </c>
      <c r="B18" s="2" t="s">
        <v>129</v>
      </c>
      <c r="C18" s="2" t="s">
        <v>122</v>
      </c>
      <c r="D18" s="2" t="s">
        <v>118</v>
      </c>
    </row>
    <row r="19">
      <c r="A19" s="2" t="s">
        <v>126</v>
      </c>
      <c r="B19" s="2" t="s">
        <v>130</v>
      </c>
      <c r="C19" s="2" t="s">
        <v>122</v>
      </c>
      <c r="D19" s="2" t="s">
        <v>118</v>
      </c>
    </row>
    <row r="20">
      <c r="A20" s="2" t="s">
        <v>126</v>
      </c>
      <c r="B20" s="2" t="s">
        <v>124</v>
      </c>
      <c r="C20" s="2" t="s">
        <v>119</v>
      </c>
      <c r="D20" s="2" t="s">
        <v>118</v>
      </c>
    </row>
    <row r="21">
      <c r="A21" s="2" t="s">
        <v>126</v>
      </c>
      <c r="B21" s="2" t="s">
        <v>125</v>
      </c>
      <c r="C21" s="2" t="s">
        <v>119</v>
      </c>
      <c r="D21" s="2" t="s">
        <v>118</v>
      </c>
    </row>
    <row r="22">
      <c r="A22" s="2" t="s">
        <v>127</v>
      </c>
      <c r="B22" s="2" t="s">
        <v>133</v>
      </c>
      <c r="C22" s="2" t="s">
        <v>120</v>
      </c>
      <c r="D22" s="2" t="s">
        <v>119</v>
      </c>
    </row>
    <row r="24">
      <c r="A24" s="7" t="s">
        <v>134</v>
      </c>
    </row>
    <row r="25">
      <c r="A25" s="1" t="s">
        <v>114</v>
      </c>
      <c r="B25" s="1" t="inlineStr">
        <is>
          <t>Coverage</t>
        </is>
      </c>
      <c r="C25" s="1" t="s">
        <v>115</v>
      </c>
      <c r="D25" s="1" t="s">
        <v>116</v>
      </c>
    </row>
    <row r="26">
      <c r="A26" s="2" t="s">
        <v>15</v>
      </c>
      <c r="B26" s="2" t="s">
        <v>135</v>
      </c>
      <c r="C26" s="2" t="s">
        <v>131</v>
      </c>
      <c r="D26" s="2" t="s">
        <v>123</v>
      </c>
    </row>
    <row r="27">
      <c r="A27" s="2" t="s">
        <v>15</v>
      </c>
      <c r="B27" s="2" t="s">
        <v>136</v>
      </c>
      <c r="C27" s="2" t="s">
        <v>131</v>
      </c>
      <c r="D27" s="2" t="s">
        <v>123</v>
      </c>
    </row>
    <row r="28">
      <c r="A28" s="2" t="s">
        <v>15</v>
      </c>
      <c r="B28" s="2" t="s">
        <v>124</v>
      </c>
      <c r="C28" s="2" t="s">
        <v>117</v>
      </c>
      <c r="D28" s="2" t="s">
        <v>123</v>
      </c>
    </row>
    <row r="29">
      <c r="A29" s="2" t="s">
        <v>15</v>
      </c>
      <c r="B29" s="2" t="s">
        <v>125</v>
      </c>
      <c r="C29" s="2" t="s">
        <v>132</v>
      </c>
      <c r="D29" s="2" t="s">
        <v>123</v>
      </c>
    </row>
    <row r="30">
      <c r="A30" s="2" t="s">
        <v>126</v>
      </c>
      <c r="B30" s="2" t="s">
        <v>135</v>
      </c>
      <c r="C30" s="2" t="s">
        <v>118</v>
      </c>
      <c r="D30" s="2" t="s">
        <v>118</v>
      </c>
    </row>
    <row r="31">
      <c r="A31" s="2" t="s">
        <v>126</v>
      </c>
      <c r="B31" s="2" t="s">
        <v>136</v>
      </c>
      <c r="C31" s="2" t="s">
        <v>122</v>
      </c>
      <c r="D31" s="2" t="s">
        <v>118</v>
      </c>
    </row>
    <row r="32">
      <c r="A32" s="2" t="s">
        <v>126</v>
      </c>
      <c r="B32" s="2" t="s">
        <v>124</v>
      </c>
      <c r="C32" s="2" t="s">
        <v>119</v>
      </c>
      <c r="D32" s="2" t="s">
        <v>118</v>
      </c>
    </row>
    <row r="33">
      <c r="A33" s="2" t="s">
        <v>126</v>
      </c>
      <c r="B33" s="2" t="s">
        <v>125</v>
      </c>
      <c r="C33" s="2" t="s">
        <v>121</v>
      </c>
      <c r="D33" s="2" t="s">
        <v>118</v>
      </c>
    </row>
    <row r="34">
      <c r="A34" s="2" t="s">
        <v>127</v>
      </c>
      <c r="B34" s="2" t="s">
        <v>133</v>
      </c>
      <c r="C34" s="2" t="s">
        <v>120</v>
      </c>
      <c r="D34" s="2" t="s">
        <v>119</v>
      </c>
    </row>
  </sheetData>
  <mergeCells count="1">
    <mergeCell ref="A1:D1"/>
  </mergeCells>
</worksheet>
</file>

<file path=xl/worksheets/sheet6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18"/>
    <col customWidth="1" min="2" max="2" width="18"/>
    <col customWidth="1" min="3" max="3" width="18"/>
    <col customWidth="1" min="4" max="4" width="18"/>
    <col customWidth="1" min="5" max="5" width="18"/>
    <col customWidth="1" min="6" max="6" width="18"/>
    <col customWidth="1" min="7" max="7" width="18"/>
  </cols>
  <sheetData>
    <row r="1">
      <c r="A1" s="5" t="s">
        <v>137</v>
      </c>
    </row>
    <row r="3">
      <c r="A3" s="7" t="s">
        <v>138</v>
      </c>
    </row>
    <row r="5">
      <c r="A5" s="1" t="s">
        <v>139</v>
      </c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145</v>
      </c>
    </row>
    <row r="6">
      <c r="A6" s="2" t="s">
        <v>146</v>
      </c>
      <c r="B6" s="2" t="s">
        <v>147</v>
      </c>
      <c r="C6" s="2" t="s">
        <v>148</v>
      </c>
      <c r="D6" s="2" t="s">
        <v>147</v>
      </c>
      <c r="E6" s="2" t="s">
        <v>148</v>
      </c>
      <c r="F6" s="2" t="s">
        <v>149</v>
      </c>
      <c r="G6" s="2" t="s">
        <v>150</v>
      </c>
    </row>
    <row r="7">
      <c r="A7" s="2" t="s">
        <v>151</v>
      </c>
      <c r="B7" s="2" t="s">
        <v>152</v>
      </c>
      <c r="C7" s="2" t="s">
        <v>153</v>
      </c>
      <c r="D7" s="2" t="s">
        <v>152</v>
      </c>
      <c r="E7" s="2" t="s">
        <v>153</v>
      </c>
      <c r="F7" s="2" t="s">
        <v>154</v>
      </c>
      <c r="G7" s="2" t="s">
        <v>155</v>
      </c>
    </row>
    <row r="8">
      <c r="A8" s="2" t="s">
        <v>156</v>
      </c>
      <c r="B8" s="2" t="s">
        <v>157</v>
      </c>
      <c r="C8" s="2" t="s">
        <v>158</v>
      </c>
      <c r="D8" s="2" t="s">
        <v>159</v>
      </c>
      <c r="E8" s="2" t="s">
        <v>159</v>
      </c>
      <c r="F8" s="2" t="s">
        <v>159</v>
      </c>
      <c r="G8" s="2" t="s">
        <v>160</v>
      </c>
    </row>
    <row r="9">
      <c r="A9" s="4" t="s">
        <v>161</v>
      </c>
      <c r="B9" s="4" t="s">
        <v>162</v>
      </c>
      <c r="C9" s="4" t="s">
        <v>163</v>
      </c>
      <c r="D9" s="4" t="s">
        <v>164</v>
      </c>
      <c r="E9" s="4" t="s">
        <v>165</v>
      </c>
      <c r="F9" s="4" t="s">
        <v>166</v>
      </c>
      <c r="G9" s="4" t="s">
        <v>167</v>
      </c>
    </row>
    <row r="10">
      <c r="A10" s="4" t="s">
        <v>168</v>
      </c>
      <c r="B10" s="4" t="s">
        <v>169</v>
      </c>
      <c r="C10" s="4" t="s">
        <v>170</v>
      </c>
      <c r="D10" s="4" t="s">
        <v>171</v>
      </c>
      <c r="E10" s="4" t="s">
        <v>172</v>
      </c>
      <c r="F10" s="4" t="s">
        <v>173</v>
      </c>
      <c r="G10" s="4" t="s">
        <v>174</v>
      </c>
    </row>
    <row r="12">
      <c r="A12" s="7" t="s">
        <v>175</v>
      </c>
    </row>
    <row r="13">
      <c r="A13" s="0" t="s">
        <v>176</v>
      </c>
    </row>
    <row r="14">
      <c r="A14" s="0" t="s">
        <v>177</v>
      </c>
    </row>
    <row r="15">
      <c r="A15" s="0" t="s">
        <v>178</v>
      </c>
    </row>
    <row r="17">
      <c r="A17" s="7" t="s">
        <v>179</v>
      </c>
    </row>
  </sheetData>
  <mergeCells count="1">
    <mergeCell ref="A1:G1"/>
  </mergeCells>
</worksheet>
</file>

<file path=xl/worksheets/sheet7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25"/>
    <col customWidth="1" min="2" max="2" width="30"/>
    <col customWidth="1" min="3" max="3" width="30"/>
    <col customWidth="1" min="4" max="4" width="30"/>
  </cols>
  <sheetData>
    <row r="1">
      <c r="A1" s="5" t="s">
        <v>180</v>
      </c>
    </row>
    <row r="2">
      <c r="A2" s="3" t="s">
        <v>181</v>
      </c>
    </row>
    <row r="4">
      <c r="A4" s="1" t="s">
        <v>182</v>
      </c>
      <c r="B4" s="1" t="s">
        <v>183</v>
      </c>
      <c r="C4" s="1" t="s">
        <v>184</v>
      </c>
      <c r="D4" s="1" t="s">
        <v>185</v>
      </c>
    </row>
    <row r="5">
      <c r="A5" s="2" t="s">
        <v>186</v>
      </c>
      <c r="B5" s="2" t="s">
        <v>187</v>
      </c>
      <c r="C5" s="2" t="s">
        <v>188</v>
      </c>
      <c r="D5" s="2" t="s">
        <v>189</v>
      </c>
    </row>
    <row r="6">
      <c r="A6" s="2" t="s">
        <v>190</v>
      </c>
      <c r="B6" s="2" t="s">
        <v>191</v>
      </c>
      <c r="C6" s="2" t="s">
        <v>192</v>
      </c>
      <c r="D6" s="2" t="s">
        <v>193</v>
      </c>
    </row>
    <row r="7">
      <c r="A7" s="2" t="s">
        <v>194</v>
      </c>
      <c r="B7" s="2" t="s">
        <v>195</v>
      </c>
      <c r="C7" s="2" t="s">
        <v>196</v>
      </c>
      <c r="D7" s="2" t="s">
        <v>197</v>
      </c>
    </row>
    <row r="9">
      <c r="A9" s="5" t="s">
        <v>198</v>
      </c>
    </row>
    <row r="10">
      <c r="A10" s="4" t="s">
        <v>199</v>
      </c>
      <c r="B10" s="2" t="s">
        <v>200</v>
      </c>
    </row>
    <row r="11">
      <c r="A11" s="4" t="s">
        <v>201</v>
      </c>
      <c r="B11" s="2" t="s">
        <v>202</v>
      </c>
    </row>
    <row r="12">
      <c r="A12" s="4" t="s">
        <v>203</v>
      </c>
      <c r="B12" s="2" t="s">
        <v>204</v>
      </c>
    </row>
    <row r="13">
      <c r="A13" s="4" t="s">
        <v>205</v>
      </c>
      <c r="B13" s="2" t="s">
        <v>206</v>
      </c>
    </row>
    <row r="14">
      <c r="A14" s="4" t="s">
        <v>207</v>
      </c>
      <c r="B14" s="2" t="s">
        <v>208</v>
      </c>
    </row>
    <row r="15">
      <c r="A15" s="4" t="s">
        <v>209</v>
      </c>
      <c r="B15" s="2" t="s">
        <v>210</v>
      </c>
    </row>
    <row r="16">
      <c r="A16" s="4" t="s">
        <v>211</v>
      </c>
      <c r="B16" s="2" t="s">
        <v>212</v>
      </c>
    </row>
    <row r="17">
      <c r="A17" s="4" t="s">
        <v>213</v>
      </c>
      <c r="B17" s="2" t="s">
        <v>214</v>
      </c>
    </row>
    <row r="18">
      <c r="A18" s="4" t="s">
        <v>215</v>
      </c>
      <c r="B18" s="2" t="s">
        <v>216</v>
      </c>
    </row>
    <row r="19">
      <c r="A19" s="4" t="s">
        <v>217</v>
      </c>
      <c r="B19" s="2" t="s">
        <v>218</v>
      </c>
    </row>
    <row r="21">
      <c r="A21" s="5" t="s">
        <v>219</v>
      </c>
    </row>
    <row r="22">
      <c r="A22" s="1" t="s">
        <v>220</v>
      </c>
      <c r="B22" s="1" t="s">
        <v>221</v>
      </c>
      <c r="C22" s="1" t="s">
        <v>222</v>
      </c>
    </row>
    <row r="23">
      <c r="A23" s="2" t="s">
        <v>223</v>
      </c>
      <c r="B23" s="2" t="s">
        <v>224</v>
      </c>
      <c r="C23" s="2" t="s">
        <v>225</v>
      </c>
    </row>
    <row r="24">
      <c r="A24" s="2" t="s">
        <v>226</v>
      </c>
      <c r="B24" s="2" t="s">
        <v>227</v>
      </c>
      <c r="C24" s="2" t="s">
        <v>228</v>
      </c>
    </row>
    <row r="25">
      <c r="A25" s="2" t="s">
        <v>229</v>
      </c>
      <c r="B25" s="2" t="s">
        <v>230</v>
      </c>
      <c r="C25" s="2" t="s">
        <v>231</v>
      </c>
    </row>
    <row r="26">
      <c r="A26" s="2" t="s">
        <v>232</v>
      </c>
      <c r="B26" s="2" t="s">
        <v>233</v>
      </c>
      <c r="C26" s="2" t="s">
        <v>234</v>
      </c>
    </row>
  </sheetData>
  <mergeCells count="13">
    <mergeCell ref="A1:D1"/>
    <mergeCell ref="A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1:D21"/>
  </mergeCells>
</worksheet>
</file>