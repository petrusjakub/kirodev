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sheets>
    <sheet state="visible" name="PLAN A" sheetId="1" r:id="rId4"/>
    <sheet state="visible" name="PLAN B" sheetId="2" r:id="rId5"/>
    <sheet state="visible" name="PLAN C" sheetId="3" r:id="rId6"/>
    <sheet state="visible" name="KOMISI" sheetId="4" r:id="rId7"/>
    <sheet state="visible" name="PERBANDINGAN" sheetId="5" r:id="rId8"/>
    <sheet state="visible" name="RINGKASAN" sheetId="6" r:id="rId9"/>
  </sheets>
  <definedNames/>
  <calcPr/>
</workbook>
</file>

<file path=xl/sharedStrings.xml><?xml version="1.0" encoding="utf-8"?>
<sst xmlns="http://schemas.openxmlformats.org/spreadsheetml/2006/main" count="216" uniqueCount="216">
  <si>
    <t>PLAN A - ANUITAS</t>
  </si>
  <si>
    <t>Manfaat Tahapan Tahunan (Annual Payout)</t>
  </si>
  <si>
    <t>INPUT DATA</t>
  </si>
  <si>
    <t>JENIS KELAMIN:</t>
  </si>
  <si>
    <t>Pria</t>
  </si>
  <si>
    <t>Wanita</t>
  </si>
  <si>
    <t>USIA MASUK:</t>
  </si>
  <si>
    <t>PREMI TAHUNAN (IDR):</t>
  </si>
  <si>
    <t>MASA BAYAR:</t>
  </si>
  <si>
    <t>Single</t>
  </si>
  <si>
    <t>5 Tahun</t>
  </si>
  <si>
    <t>10 Tahun</t>
  </si>
  <si>
    <t>MASA PERTANGGUNGAN:</t>
  </si>
  <si>
    <t>20 Tahun</t>
  </si>
  <si>
    <t>30 Tahun</t>
  </si>
  <si>
    <t>HASIL PERHITUNGAN</t>
  </si>
  <si>
    <t>STATUS KELAYAKAN:</t>
  </si>
  <si>
    <t>LEVEL BANDING:</t>
  </si>
  <si>
    <t>MANFAAT TAHAPAN TAHUNAN (%):</t>
  </si>
  <si>
    <t>% dari Premi (Banding 1)</t>
  </si>
  <si>
    <t>BANDING 2 EXTRA (%):</t>
  </si>
  <si>
    <t>Tambahan jika Banding 2</t>
  </si>
  <si>
    <t>TOTAL TAHAPAN % PER TAHUN:</t>
  </si>
  <si>
    <t>MANFAAT TAHAPAN TAHUNAN (IDR):</t>
  </si>
  <si>
    <t>Per tahun</t>
  </si>
  <si>
    <t>MULAI PEMBAYARAN:</t>
  </si>
  <si>
    <t>JUMLAH TAHUN PEMBAYARAN:</t>
  </si>
  <si>
    <t>tahun</t>
  </si>
  <si>
    <t>TOTAL TAHAPAN (SELURUH PERIODE):</t>
  </si>
  <si>
    <t>MANFAAT ADB &amp; TPD /TAHUN:</t>
  </si>
  <si>
    <t>25% Premi Dasar Tahunan</t>
  </si>
  <si>
    <t>TOTAL ADB &amp; TPD:</t>
  </si>
  <si>
    <t>TOTAL SELURUH MANFAAT:</t>
  </si>
  <si>
    <t>CATATAN:</t>
  </si>
  <si>
    <t>- Pilih dari dropdown di sel KUNING untuk melihat hasil otomatis</t>
  </si>
  <si>
    <t>- Gender tidak mempengaruhi benefit MDWA (unisex rate)</t>
  </si>
  <si>
    <t>- Plan A: Tahapan dibayar tahunan dari tahun mulai s/d akhir coverage</t>
  </si>
  <si>
    <t>- Banding 2: Premi &gt;= 500 Juta (Single) atau &gt;= 100 Juta (Regular)</t>
  </si>
  <si>
    <t>PLAN B - BEASISWA</t>
  </si>
  <si>
    <t>Manfaat Lump Sum di Akhir Masa Pertanggungan (Maturity)</t>
  </si>
  <si>
    <t>6 Tahun</t>
  </si>
  <si>
    <t>7 Tahun</t>
  </si>
  <si>
    <t>8 Tahun</t>
  </si>
  <si>
    <t>9 Tahun</t>
  </si>
  <si>
    <t>11 Tahun</t>
  </si>
  <si>
    <t>12 Tahun</t>
  </si>
  <si>
    <t>13 Tahun</t>
  </si>
  <si>
    <t>14 Tahun</t>
  </si>
  <si>
    <t>15 Tahun</t>
  </si>
  <si>
    <t>MANFAAT BEASISWA (%):</t>
  </si>
  <si>
    <t>TOTAL MANFAAT BEASISWA (%):</t>
  </si>
  <si>
    <t>MANFAAT BEASISWA (LUMP SUM):</t>
  </si>
  <si>
    <t>Dibayar di akhir coverage</t>
  </si>
  <si>
    <t>TOTAL MANFAAT:</t>
  </si>
  <si>
    <t>- Plan B: Manfaat lump sum dibayar di akhir masa pertanggungan</t>
  </si>
  <si>
    <t>- Single: coverage 5-15/20/30 thn; 5 Tahun: 10-15/20/30 thn; 10 Tahun: 15/20/30 thn</t>
  </si>
  <si>
    <t>TABEL REFERENSI (JANGAN DIUBAH)</t>
  </si>
  <si>
    <t>Key</t>
  </si>
  <si>
    <t>Maturity % (B1)</t>
  </si>
  <si>
    <t>Extra % (B2)</t>
  </si>
  <si>
    <t>Single_5</t>
  </si>
  <si>
    <t>Single_6</t>
  </si>
  <si>
    <t>Single_7</t>
  </si>
  <si>
    <t>Single_8</t>
  </si>
  <si>
    <t>Single_9</t>
  </si>
  <si>
    <t>Single_10</t>
  </si>
  <si>
    <t>Single_11</t>
  </si>
  <si>
    <t>Single_12</t>
  </si>
  <si>
    <t>Single_13</t>
  </si>
  <si>
    <t>Single_14</t>
  </si>
  <si>
    <t>Single_15</t>
  </si>
  <si>
    <t>Single_20</t>
  </si>
  <si>
    <t>Single_30</t>
  </si>
  <si>
    <t>5_10</t>
  </si>
  <si>
    <t>5_11</t>
  </si>
  <si>
    <t>5_12</t>
  </si>
  <si>
    <t>5_13</t>
  </si>
  <si>
    <t>5_14</t>
  </si>
  <si>
    <t>5_15</t>
  </si>
  <si>
    <t>5_20</t>
  </si>
  <si>
    <t>5_30</t>
  </si>
  <si>
    <t>10_15</t>
  </si>
  <si>
    <t>10_20</t>
  </si>
  <si>
    <t>10_30</t>
  </si>
  <si>
    <t>PLAN C - COMBO</t>
  </si>
  <si>
    <t>Manfaat Tahapan Tahunan + Lump Sum Jatuh Tempo</t>
  </si>
  <si>
    <t>MANFAAT AKHIR MASA PERTANGGUNGAN (%):</t>
  </si>
  <si>
    <t>MANFAAT AKHIR MASA PERTANGGUNGAN (IDR):</t>
  </si>
  <si>
    <t>BANDING 2 EXTRA MATURITY (%):</t>
  </si>
  <si>
    <t>BANDING 2 EXTRA (IDR):</t>
  </si>
  <si>
    <t>MULAI PEMBAYARAN TAHAPAN:</t>
  </si>
  <si>
    <t>- Plan C: Gabungan tahapan tahunan + lump sum di akhir</t>
  </si>
  <si>
    <t>- Single: mulai tahun ke-1; 5 Tahun: mulai tahun ke-5; 10 Tahun: mulai tahun ke-10</t>
  </si>
  <si>
    <t>Tahapan %</t>
  </si>
  <si>
    <t>Maturity %</t>
  </si>
  <si>
    <t>Extra Mat %</t>
  </si>
  <si>
    <t>STRUKTUR KOMISI MDWA</t>
  </si>
  <si>
    <t>Masa Bayar</t>
  </si>
  <si>
    <t>Coverage</t>
  </si>
  <si>
    <t>Tahun 1</t>
  </si>
  <si>
    <t>Tahun 2</t>
  </si>
  <si>
    <t>20 thn</t>
  </si>
  <si>
    <t>30 thn</t>
  </si>
  <si>
    <t>4%</t>
  </si>
  <si>
    <t>5%</t>
  </si>
  <si>
    <t>15%</t>
  </si>
  <si>
    <t>10%</t>
  </si>
  <si>
    <t>-</t>
  </si>
  <si>
    <t>5-10 thn</t>
  </si>
  <si>
    <t>11-15 thn</t>
  </si>
  <si>
    <t>2%</t>
  </si>
  <si>
    <t>6%</t>
  </si>
  <si>
    <t>7.5%</t>
  </si>
  <si>
    <t>10 thn</t>
  </si>
  <si>
    <t>15 thn</t>
  </si>
  <si>
    <t>12.5%</t>
  </si>
  <si>
    <t>semua</t>
  </si>
  <si>
    <t>PERBANDINGAN vs KOMPETITOR</t>
  </si>
  <si>
    <t>Contoh: PPP 5 Tahun, Banding 2, Premi Tahunan IDR 100 Juta</t>
  </si>
  <si>
    <t>Fitur</t>
  </si>
  <si>
    <t>MDWA 15yr</t>
  </si>
  <si>
    <t>MDWA 20yr</t>
  </si>
  <si>
    <t>MSP 15yr</t>
  </si>
  <si>
    <t>MSP 20yr</t>
  </si>
  <si>
    <t>FI 15yr</t>
  </si>
  <si>
    <t>FI 20yr</t>
  </si>
  <si>
    <t>Tahapan/Tahun</t>
  </si>
  <si>
    <t>17.5M x 11</t>
  </si>
  <si>
    <t>20M x 16</t>
  </si>
  <si>
    <t>20M x 10</t>
  </si>
  <si>
    <t>20M x 15</t>
  </si>
  <si>
    <t>Total Tahapan</t>
  </si>
  <si>
    <t>192.5M</t>
  </si>
  <si>
    <t>320M</t>
  </si>
  <si>
    <t>200M</t>
  </si>
  <si>
    <t>300M</t>
  </si>
  <si>
    <t>Maturity</t>
  </si>
  <si>
    <t>532.5M</t>
  </si>
  <si>
    <t>540M</t>
  </si>
  <si>
    <t>500M</t>
  </si>
  <si>
    <t>525M</t>
  </si>
  <si>
    <t>Total Benefit</t>
  </si>
  <si>
    <t>725M</t>
  </si>
  <si>
    <t>860M</t>
  </si>
  <si>
    <t>692.5M</t>
  </si>
  <si>
    <t>820M</t>
  </si>
  <si>
    <t>700M</t>
  </si>
  <si>
    <t>825M</t>
  </si>
  <si>
    <t>Rasio Benefit</t>
  </si>
  <si>
    <t>145%</t>
  </si>
  <si>
    <t>172%</t>
  </si>
  <si>
    <t>139%</t>
  </si>
  <si>
    <t>164%</t>
  </si>
  <si>
    <t>140%</t>
  </si>
  <si>
    <t>165%</t>
  </si>
  <si>
    <t>Catatan:</t>
  </si>
  <si>
    <t>MSP = Manulife Saver Plus (produk lama)</t>
  </si>
  <si>
    <t>FI = Flexi Income (kompetitor)</t>
  </si>
  <si>
    <t>Rasio = Total Benefit / Total Premi (5 thn x 100 Juta = 500 Juta)</t>
  </si>
  <si>
    <t>MDWA memberikan rasio benefit tertinggi.</t>
  </si>
  <si>
    <t>RINGKASAN - MANULIFE DYNAMIC WEALTH ASSURANCE</t>
  </si>
  <si>
    <t>Plan A - Anuitas</t>
  </si>
  <si>
    <t>Plan B - Beasiswa</t>
  </si>
  <si>
    <t>Plan C - Combo</t>
  </si>
  <si>
    <t>Konsep</t>
  </si>
  <si>
    <t>Arus kas tahunan stabil (pensiun)</t>
  </si>
  <si>
    <t>Lump sum di akhir (pendidikan)</t>
  </si>
  <si>
    <t>Tahapan + lump sum (fleksibel)</t>
  </si>
  <si>
    <t>Manfaat Utama</t>
  </si>
  <si>
    <t>Tahapan tahunan (annual payout)</t>
  </si>
  <si>
    <t>Lump sum saat jatuh tempo</t>
  </si>
  <si>
    <t>Tahapan + jatuh tempo</t>
  </si>
  <si>
    <t>Masa Pertanggungan</t>
  </si>
  <si>
    <t>20 / 30 tahun</t>
  </si>
  <si>
    <t>5-15 / 20 / 30 tahun</t>
  </si>
  <si>
    <t>10 / 15 / 20 / 30 tahun</t>
  </si>
  <si>
    <t>Masa Bayar Premi</t>
  </si>
  <si>
    <t>Single / 5 / 10 tahun</t>
  </si>
  <si>
    <t>Usia Masuk (Single)</t>
  </si>
  <si>
    <t>30 hari - 85 tahun</t>
  </si>
  <si>
    <t>Usia Masuk (Regular)</t>
  </si>
  <si>
    <t>30 hari - 70 tahun</t>
  </si>
  <si>
    <t>Min Premi Single</t>
  </si>
  <si>
    <t>IDR 50 Juta / USD 5,000</t>
  </si>
  <si>
    <t>Min Premi Regular</t>
  </si>
  <si>
    <t>IDR 24 Juta / USD 2,400</t>
  </si>
  <si>
    <t>ADB &amp; TPD</t>
  </si>
  <si>
    <t>Banding 2 Trigger</t>
  </si>
  <si>
    <t>Single&gt;=500M / Reg&gt;=100M</t>
  </si>
  <si>
    <t>SPESIFIKASI UMUM</t>
  </si>
  <si>
    <t>Mode Pembayaran</t>
  </si>
  <si>
    <t>Tahunan (100%), Semesteran (52.5%/51.25%), Triwulanan (27.5%/26.5%), Bulanan (9.5%/9%)</t>
  </si>
  <si>
    <t>Underwriting</t>
  </si>
  <si>
    <t>Guaranteed Issuance Offering</t>
  </si>
  <si>
    <t>Riders</t>
  </si>
  <si>
    <t>Advanced Life Protector Plus, Manulife Payor Benefit Plus, Manulife Waiver of Premium Plus</t>
  </si>
  <si>
    <t>Mata Uang</t>
  </si>
  <si>
    <t>IDR dan USD</t>
  </si>
  <si>
    <t>BANDING PREMIUM</t>
  </si>
  <si>
    <t>Banding</t>
  </si>
  <si>
    <t>Single Premium</t>
  </si>
  <si>
    <t>Regular Premium</t>
  </si>
  <si>
    <t>Banding 1 (IDR)</t>
  </si>
  <si>
    <t>IDR 50M - &lt;500M</t>
  </si>
  <si>
    <t>IDR 24M - &lt;100M</t>
  </si>
  <si>
    <t>Banding 2 (IDR)</t>
  </si>
  <si>
    <t>&gt;= IDR 500M</t>
  </si>
  <si>
    <t>&gt;= IDR 100M</t>
  </si>
  <si>
    <t>Banding 1 (USD)</t>
  </si>
  <si>
    <t>USD 5,000 - &lt;50,000</t>
  </si>
  <si>
    <t>USD 2,400 - &lt;10,000</t>
  </si>
  <si>
    <t>Banding 2 (USD)</t>
  </si>
  <si>
    <t>&gt;= USD 50,000</t>
  </si>
  <si>
    <t>&gt;= USD 10,000</t>
  </si>
  <si>
    <t>Gunakan sheet PLAN A, PLAN B, PLAN C untuk kalkulasi manfaat.</t>
  </si>
  <si>
    <t>Pilih Gender dan Usia di sel KUNING pada masing-masing sheet Plan.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</si>
</sst>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%"/>
  </numFmts>
  <fonts count="8">
    <font>
      <sz val="10.0"/>
      <color rgb="FF000000"/>
      <name val="Arial"/>
    </font>
    <font>
      <b/>
      <sz val="10.0"/>
      <color rgb="FFFFFFFF"/>
      <name val="Arial"/>
    </font>
    <font>
      <b/>
      <sz val="14.0"/>
      <color rgb="FF1E7145"/>
      <name val="Arial"/>
    </font>
    <font>
      <b/>
      <sz val="11.0"/>
      <color rgb="FF000000"/>
      <name val="Arial"/>
    </font>
    <font>
      <sz val="9.0"/>
      <color rgb="FF333333"/>
      <name val="Arial"/>
    </font>
    <font>
      <b/>
      <sz val="12.0"/>
      <color rgb="FFFFFFFF"/>
      <name val="Arial"/>
    </font>
    <font>
      <b/>
      <sz val="11.0"/>
      <color rgb="FF0000FF"/>
      <name val="Arial"/>
    </font>
    <font>
      <i/>
      <sz val="9.0"/>
      <color rgb="FF666666"/>
      <name val="Arial"/>
    </font>
  </fonts>
  <fills count="8">
    <fill>
      <patternFill patternType="none"/>
    </fill>
    <fill>
      <patternFill patternType="lightGray"/>
    </fill>
    <fill>
      <patternFill patternType="solid">
        <fgColor rgb="FF1E7145"/>
        <bgColor rgb="FF1E7145"/>
      </patternFill>
    </fill>
    <fill>
      <patternFill patternType="solid">
        <fgColor rgb="FFE8F5EE"/>
        <bgColor rgb="FFE8F5EE"/>
      </patternFill>
    </fill>
    <fill>
      <patternFill patternType="solid">
        <fgColor rgb="FFFFFFFF"/>
        <bgColor rgb="FFFFFFFF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E6F3FF"/>
        <bgColor rgb="FFE6F3FF"/>
      </patternFill>
    </fill>
  </fills>
  <borders count="3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medium">
        <color rgb="FF0000FF"/>
      </left>
      <right style="medium">
        <color rgb="FF0000FF"/>
      </right>
      <top style="medium">
        <color rgb="FF0000FF"/>
      </top>
      <bottom style="medium">
        <color rgb="FF0000FF"/>
      </bottom>
    </border>
  </borders>
  <cellStyleXfs count="1">
    <xf borderId="0" fillId="0" fontId="0" numFmtId="0"/>
  </cellStyleXfs>
  <cellXfs count="13">
    <xf borderId="0" fillId="0" fontId="0" numFmtId="0" xfId="0" applyAlignment="1">
      <alignment vertical="center" wrapText="1"/>
    </xf>
    <xf borderId="1" fillId="2" fontId="1" numFmtId="0" xfId="0" applyAlignment="1" applyBorder="1" applyFill="1" applyFont="1">
      <alignment horizontal="center" vertical="center" wrapText="1"/>
    </xf>
    <xf borderId="1" fillId="0" fontId="0" numFmtId="0" xfId="0" applyAlignment="1" applyBorder="1">
      <alignment horizontal="center" vertical="center" wrapText="1"/>
    </xf>
    <xf borderId="0" fillId="0" fontId="2" numFmtId="0" xfId="0" applyAlignment="1" applyFont="1">
      <alignment vertical="center" wrapText="1"/>
    </xf>
    <xf borderId="1" fillId="3" fontId="0" numFmtId="0" xfId="0" applyAlignment="1" applyBorder="1" applyFill="1">
      <alignment horizontal="center" vertical="center" wrapText="1"/>
    </xf>
    <xf borderId="1" fillId="5" fontId="5" numFmtId="0" xfId="0" applyAlignment="1" applyBorder="1" applyFill="1" applyFont="1">
      <alignment horizontal="center" vertical="center" wrapText="1"/>
    </xf>
    <xf borderId="1" fillId="0" fontId="0" numFmtId="164" xfId="0" applyAlignment="1" applyBorder="1" applyNumberFormat="1">
      <alignment horizontal="center" vertical="center" wrapText="1"/>
    </xf>
    <xf borderId="0" fillId="0" fontId="3" numFmtId="0" xfId="0" applyAlignment="1" applyFont="1">
      <alignment vertical="center" wrapText="1"/>
    </xf>
    <xf borderId="2" fillId="6" fontId="6" numFmtId="0" xfId="0" applyAlignment="1" applyBorder="1" applyFill="1" applyFont="1">
      <alignment horizontal="center" vertical="center" wrapText="1"/>
    </xf>
    <xf borderId="1" fillId="7" fontId="3" numFmtId="164" xfId="0" applyAlignment="1" applyBorder="1" applyFill="1" applyFont="1" applyNumberFormat="1">
      <alignment horizontal="center" vertical="center" wrapText="1"/>
    </xf>
    <xf borderId="1" fillId="0" fontId="3" numFmtId="0" xfId="0" applyAlignment="1" applyBorder="1" applyFont="1">
      <alignment vertical="center" wrapText="1"/>
    </xf>
    <xf borderId="0" fillId="0" fontId="7" numFmtId="0" xfId="0" applyAlignment="1" applyFont="1">
      <alignment vertical="center" wrapText="1"/>
    </xf>
    <xf borderId="1" fillId="7" fontId="3" numFmtId="0" xfId="0" applyAlignment="1" applyBorder="1" applyFill="1" applyFont="1">
      <alignment horizontal="center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MDWA">
  <a:themeElements>
    <a:clrScheme name="MDWA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E7145"/>
      </a:accent1>
      <a:accent2>
        <a:srgbClr val="00B050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MDWA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Views>
    <sheetView workbookViewId="0"/>
  </sheetViews>
  <sheetFormatPr defaultColWidth="14.0" defaultRowHeight="15.0"/>
  <cols>
    <col customWidth="1" min="1" max="1" width="8"/>
    <col customWidth="1" min="2" max="2" width="32"/>
    <col customWidth="1" min="3" max="3" width="28"/>
    <col customWidth="1" min="4" max="4" width="30"/>
    <col customWidth="1" min="5" max="5" width="20"/>
  </cols>
  <sheetData>
    <row r="1" ht="28" customHeight="1">
      <c r="B1" s="3" t="s">
        <v>0</v>
      </c>
    </row>
    <row r="2">
      <c r="B2" s="11" t="s">
        <v>1</v>
      </c>
    </row>
    <row r="3">
      <c r="B3" s="5" t="s">
        <v>2</v>
      </c>
      <c r="C3" s="5" t="inlineStr">
        <is>
          <t/>
        </is>
      </c>
      <c r="D3" s="5" t="inlineStr">
        <is>
          <t/>
        </is>
      </c>
    </row>
    <row r="4">
      <c r="B4" s="10" t="s">
        <v>3</v>
      </c>
      <c r="C4" s="8" t="s">
        <v>4</v>
      </c>
    </row>
    <row r="5">
      <c r="B5" s="10" t="s">
        <v>6</v>
      </c>
      <c r="C5" s="8">
        <v>30</v>
      </c>
    </row>
    <row r="6">
      <c r="B6" s="10" t="s">
        <v>7</v>
      </c>
      <c r="C6" s="8">
        <v>100000000</v>
      </c>
    </row>
    <row r="7">
      <c r="B7" s="10" t="s">
        <v>8</v>
      </c>
      <c r="C7" s="8" t="s">
        <v>9</v>
      </c>
    </row>
    <row r="8">
      <c r="B8" s="10" t="s">
        <v>12</v>
      </c>
      <c r="C8" s="8" t="s">
        <v>13</v>
      </c>
    </row>
    <row r="9"/>
    <row r="10">
      <c r="B10" s="5" t="s">
        <v>15</v>
      </c>
      <c r="C10" s="5" t="inlineStr">
        <is>
          <t/>
        </is>
      </c>
      <c r="D10" s="5" t="inlineStr">
        <is>
          <t/>
        </is>
      </c>
    </row>
    <row r="11">
      <c r="B11" s="10" t="s">
        <v>16</v>
      </c>
      <c r="C11" s="12">
        <f>IF(C7="Single",IF(C5&lt;=85,"ELIGIBLE","TIDAK ELIGIBLE - Usia maks 85"),IF(C5&lt;=70,"ELIGIBLE","TIDAK ELIGIBLE - Usia maks 70"))</f>
        <v>0</v>
      </c>
    </row>
    <row r="12">
      <c r="B12" s="10" t="s">
        <v>17</v>
      </c>
      <c r="C12" s="12">
        <f>IF(C7="Single",IF(C6&gt;=500000000,"Banding 2","Banding 1"),IF(C6&gt;=100000000,"Banding 2","Banding 1"))</f>
        <v>0</v>
      </c>
    </row>
    <row r="13">
      <c r="B13" s="10" t="s">
        <v>18</v>
      </c>
      <c r="C13" s="9">
        <f>IF(C8="20 Tahun",IF(C7="Single",9.5,IF(C7="5 Tahun",65,235)),IF(C7="Single",7,IF(C7="5 Tahun",40,105)))</f>
        <v>0</v>
      </c>
      <c r="D13" s="11" t="s">
        <v>19</v>
      </c>
    </row>
    <row r="14">
      <c r="B14" s="10" t="s">
        <v>20</v>
      </c>
      <c r="C14" s="9">
        <f>IF(C12="Banding 2",IF(C8="20 Tahun",IF(C7="Single",6,IF(C7="5 Tahun",30,60)),IF(C7="Single",9,IF(C7="5 Tahun",45,90))),0)</f>
        <v>0</v>
      </c>
      <c r="D14" s="11" t="s">
        <v>21</v>
      </c>
    </row>
    <row r="15">
      <c r="B15" s="10" t="s">
        <v>22</v>
      </c>
      <c r="C15" s="9">
        <f>C13+C14</f>
        <v>0</v>
      </c>
    </row>
    <row r="16">
      <c r="B16" s="10" t="s">
        <v>23</v>
      </c>
      <c r="C16" s="9">
        <f>C15*C6/100</f>
        <v>0</v>
      </c>
      <c r="D16" s="11" t="s">
        <v>24</v>
      </c>
    </row>
    <row r="17">
      <c r="B17" s="10" t="s">
        <v>25</v>
      </c>
      <c r="C17" s="12">
        <f>IF(C7="Single","Tahun ke-6",IF(C7="5 Tahun","Tahun ke-10","Tahun ke-15"))</f>
        <v>0</v>
      </c>
    </row>
    <row r="18">
      <c r="B18" s="10" t="s">
        <v>26</v>
      </c>
      <c r="C18" s="9">
        <f>IF(C8="20 Tahun",IF(C7="Single",15,IF(C7="5 Tahun",11,6)),IF(C7="Single",25,IF(C7="5 Tahun",21,16)))</f>
        <v>0</v>
      </c>
      <c r="D18" s="11" t="s">
        <v>27</v>
      </c>
    </row>
    <row r="19">
      <c r="B19" s="10" t="s">
        <v>28</v>
      </c>
      <c r="C19" s="9">
        <f>C16*C18</f>
        <v>0</v>
      </c>
    </row>
    <row r="20">
      <c r="B20" s="10" t="s">
        <v>29</v>
      </c>
      <c r="C20" s="9">
        <f>IF(C7="Single",C6*0.25/IF(C8="20 Tahun",20,30),C6*0.25)</f>
        <v>0</v>
      </c>
      <c r="D20" s="11" t="s">
        <v>30</v>
      </c>
    </row>
    <row r="21">
      <c r="B21" s="10" t="s">
        <v>31</v>
      </c>
      <c r="C21" s="9">
        <f>C20*IF(C8="20 Tahun",20,30)</f>
        <v>0</v>
      </c>
    </row>
    <row r="22"/>
    <row r="23">
      <c r="B23" s="7" t="s">
        <v>32</v>
      </c>
      <c r="C23" s="9">
        <f>C19+C21</f>
        <v>0</v>
      </c>
    </row>
    <row r="25">
      <c r="B25" s="7" t="s">
        <v>33</v>
      </c>
    </row>
    <row r="26">
      <c r="B26" s="11" t="s">
        <v>34</v>
      </c>
    </row>
    <row r="27">
      <c r="B27" s="11" t="s">
        <v>35</v>
      </c>
    </row>
    <row r="28">
      <c r="B28" s="11" t="s">
        <v>36</v>
      </c>
    </row>
    <row r="29">
      <c r="B29" s="11" t="s">
        <v>37</v>
      </c>
    </row>
  </sheetData>
  <mergeCells count="3">
    <mergeCell ref="B1:D1"/>
    <mergeCell ref="B3:D3"/>
    <mergeCell ref="B10:D10"/>
  </mergeCells>
  <dataValidations count="3">
    <dataValidation type="list" showDropDown="0" sqref="C4" allowBlank="1" showInputMessage="1" showErrorMessage="1">
      <formula1>"Pria,Wanita"</formula1>
    </dataValidation>
    <dataValidation type="list" showDropDown="0" sqref="C7" allowBlank="1" showInputMessage="1" showErrorMessage="1">
      <formula1>"Single,5 Tahun,10 Tahun"</formula1>
    </dataValidation>
    <dataValidation type="list" showDropDown="0" sqref="C8" allowBlank="1" showInputMessage="1" showErrorMessage="1">
      <formula1>"20 Tahun,30 Tahun"</formula1>
    </dataValidation>
  </dataValidations>
</worksheet>
</file>

<file path=xl/worksheets/sheet2.xml><?xml version="1.0" encoding="utf-8"?>
<worksheet xmlns="http://schemas.openxmlformats.org/spreadsheetml/2006/main">
  <sheetViews>
    <sheetView workbookViewId="0"/>
  </sheetViews>
  <sheetFormatPr defaultColWidth="14.0" defaultRowHeight="15.0"/>
  <cols>
    <col customWidth="1" min="1" max="1" width="8"/>
    <col customWidth="1" min="2" max="2" width="32"/>
    <col customWidth="1" min="3" max="3" width="28"/>
    <col customWidth="1" min="4" max="4" width="30"/>
    <col customWidth="1" min="5" max="5" width="20"/>
  </cols>
  <sheetData>
    <row r="1" ht="28" customHeight="1">
      <c r="B1" s="3" t="s">
        <v>38</v>
      </c>
    </row>
    <row r="2">
      <c r="B2" s="11" t="s">
        <v>39</v>
      </c>
    </row>
    <row r="3">
      <c r="B3" s="5" t="s">
        <v>2</v>
      </c>
      <c r="C3" s="5" t="inlineStr">
        <is>
          <t/>
        </is>
      </c>
      <c r="D3" s="5" t="inlineStr">
        <is>
          <t/>
        </is>
      </c>
    </row>
    <row r="4">
      <c r="B4" s="10" t="s">
        <v>3</v>
      </c>
      <c r="C4" s="8" t="s">
        <v>4</v>
      </c>
    </row>
    <row r="5">
      <c r="B5" s="10" t="s">
        <v>6</v>
      </c>
      <c r="C5" s="8">
        <v>30</v>
      </c>
    </row>
    <row r="6">
      <c r="B6" s="10" t="s">
        <v>7</v>
      </c>
      <c r="C6" s="8">
        <v>100000000</v>
      </c>
    </row>
    <row r="7">
      <c r="B7" s="10" t="s">
        <v>8</v>
      </c>
      <c r="C7" s="8" t="s">
        <v>9</v>
      </c>
    </row>
    <row r="8">
      <c r="B8" s="10" t="s">
        <v>12</v>
      </c>
      <c r="C8" s="8" t="s">
        <v>11</v>
      </c>
    </row>
    <row r="9"/>
    <row r="10">
      <c r="B10" s="5" t="s">
        <v>15</v>
      </c>
      <c r="C10" s="5" t="inlineStr">
        <is>
          <t/>
        </is>
      </c>
      <c r="D10" s="5" t="inlineStr">
        <is>
          <t/>
        </is>
      </c>
    </row>
    <row r="11">
      <c r="B11" s="10" t="s">
        <v>16</v>
      </c>
      <c r="C11" s="12">
        <f>IF(C7="Single",IF(C5&lt;=85,"ELIGIBLE","TIDAK ELIGIBLE - Usia maks 85"),IF(C5&lt;=70,"ELIGIBLE","TIDAK ELIGIBLE - Usia maks 70"))</f>
        <v>0</v>
      </c>
    </row>
    <row r="12">
      <c r="B12" s="10" t="s">
        <v>17</v>
      </c>
      <c r="C12" s="12">
        <f>IF(C7="Single",IF(C6&gt;=500000000,"Banding 2","Banding 1"),IF(C6&gt;=100000000,"Banding 2","Banding 1"))</f>
        <v>0</v>
      </c>
    </row>
    <row r="13">
      <c r="B13" s="10" t="s">
        <v>49</v>
      </c>
      <c r="C13" s="9">
        <f>INDEX(B51:B74,MATCH(IF(C7="Single","Single",IF(C7="5 Tahun","5","10"))&amp;"_"&amp;LEFT(C8,FIND(" ",C8)-1),A51:A74,0))</f>
        <v>0</v>
      </c>
      <c r="D13" s="11" t="s">
        <v>19</v>
      </c>
    </row>
    <row r="14">
      <c r="B14" s="10" t="s">
        <v>20</v>
      </c>
      <c r="C14" s="9">
        <f>IF(C12="Banding 2",INDEX(C51:C74,MATCH(IF(C7="Single","Single",IF(C7="5 Tahun","5","10"))&amp;"_"&amp;LEFT(C8,FIND(" ",C8)-1),A51:A74,0)),0)</f>
        <v>0</v>
      </c>
      <c r="D14" s="11" t="s">
        <v>21</v>
      </c>
    </row>
    <row r="15">
      <c r="B15" s="10" t="s">
        <v>50</v>
      </c>
      <c r="C15" s="9">
        <f>C13+C14</f>
        <v>0</v>
      </c>
    </row>
    <row r="16">
      <c r="B16" s="10" t="s">
        <v>51</v>
      </c>
      <c r="C16" s="9">
        <f>C15*C6/100</f>
        <v>0</v>
      </c>
      <c r="D16" s="11" t="s">
        <v>52</v>
      </c>
    </row>
    <row r="17">
      <c r="B17" s="10" t="s">
        <v>29</v>
      </c>
      <c r="C17" s="9">
        <f>IF(C7="Single",C6*0.25/VALUE(LEFT(C8,FIND(" ",C8)-1)),C6*0.25)</f>
        <v>0</v>
      </c>
      <c r="D17" s="11" t="s">
        <v>30</v>
      </c>
    </row>
    <row r="18">
      <c r="B18" s="10" t="s">
        <v>31</v>
      </c>
      <c r="C18" s="9">
        <f>C17*VALUE(LEFT(C8,FIND(" ",C8)-1))</f>
        <v>0</v>
      </c>
    </row>
    <row r="19"/>
    <row r="20">
      <c r="B20" s="7" t="s">
        <v>53</v>
      </c>
      <c r="C20" s="9">
        <f>C16+C18</f>
        <v>0</v>
      </c>
    </row>
    <row r="22">
      <c r="B22" s="7" t="s">
        <v>33</v>
      </c>
    </row>
    <row r="23">
      <c r="B23" s="11" t="s">
        <v>34</v>
      </c>
    </row>
    <row r="24">
      <c r="B24" s="11" t="s">
        <v>54</v>
      </c>
    </row>
    <row r="25">
      <c r="B25" s="11" t="s">
        <v>55</v>
      </c>
    </row>
    <row r="26">
      <c r="B26" s="11" t="s">
        <v>37</v>
      </c>
    </row>
    <row r="49">
      <c r="A49" s="7" t="s">
        <v>56</v>
      </c>
    </row>
    <row r="50">
      <c r="A50" s="1" t="s">
        <v>57</v>
      </c>
      <c r="B50" s="1" t="s">
        <v>58</v>
      </c>
      <c r="C50" s="1" t="s">
        <v>59</v>
      </c>
    </row>
    <row r="51">
      <c r="A51" s="2" t="s">
        <v>60</v>
      </c>
      <c r="B51" s="6">
        <v>110</v>
      </c>
      <c r="C51" s="6">
        <v>1.5</v>
      </c>
    </row>
    <row r="52">
      <c r="A52" s="2" t="s">
        <v>61</v>
      </c>
      <c r="B52" s="6">
        <v>115</v>
      </c>
      <c r="C52" s="6">
        <v>1.8</v>
      </c>
    </row>
    <row r="53">
      <c r="A53" s="2" t="s">
        <v>62</v>
      </c>
      <c r="B53" s="6">
        <v>120</v>
      </c>
      <c r="C53" s="6">
        <v>2.1</v>
      </c>
    </row>
    <row r="54">
      <c r="A54" s="2" t="s">
        <v>63</v>
      </c>
      <c r="B54" s="6">
        <v>125</v>
      </c>
      <c r="C54" s="6">
        <v>2.4</v>
      </c>
    </row>
    <row r="55">
      <c r="A55" s="2" t="s">
        <v>64</v>
      </c>
      <c r="B55" s="6">
        <v>130</v>
      </c>
      <c r="C55" s="6">
        <v>2.7</v>
      </c>
    </row>
    <row r="56">
      <c r="A56" s="2" t="s">
        <v>65</v>
      </c>
      <c r="B56" s="6">
        <v>135</v>
      </c>
      <c r="C56" s="6">
        <v>3</v>
      </c>
    </row>
    <row r="57">
      <c r="A57" s="2" t="s">
        <v>66</v>
      </c>
      <c r="B57" s="6">
        <v>140</v>
      </c>
      <c r="C57" s="6">
        <v>3.3</v>
      </c>
    </row>
    <row r="58">
      <c r="A58" s="2" t="s">
        <v>67</v>
      </c>
      <c r="B58" s="6">
        <v>145</v>
      </c>
      <c r="C58" s="6">
        <v>3.6</v>
      </c>
    </row>
    <row r="59">
      <c r="A59" s="2" t="s">
        <v>68</v>
      </c>
      <c r="B59" s="6">
        <v>150</v>
      </c>
      <c r="C59" s="6">
        <v>3.9</v>
      </c>
    </row>
    <row r="60">
      <c r="A60" s="2" t="s">
        <v>69</v>
      </c>
      <c r="B60" s="6">
        <v>155</v>
      </c>
      <c r="C60" s="6">
        <v>4.2</v>
      </c>
    </row>
    <row r="61">
      <c r="A61" s="2" t="s">
        <v>70</v>
      </c>
      <c r="B61" s="6">
        <v>160</v>
      </c>
      <c r="C61" s="6">
        <v>4.5</v>
      </c>
    </row>
    <row r="62">
      <c r="A62" s="2" t="s">
        <v>71</v>
      </c>
      <c r="B62" s="6">
        <v>200</v>
      </c>
      <c r="C62" s="6">
        <v>6</v>
      </c>
    </row>
    <row r="63">
      <c r="A63" s="2" t="s">
        <v>72</v>
      </c>
      <c r="B63" s="6">
        <v>325</v>
      </c>
      <c r="C63" s="6">
        <v>9</v>
      </c>
    </row>
    <row r="64">
      <c r="A64" s="2" t="s">
        <v>73</v>
      </c>
      <c r="B64" s="6">
        <v>600</v>
      </c>
      <c r="C64" s="6">
        <v>15</v>
      </c>
    </row>
    <row r="65">
      <c r="A65" s="2" t="s">
        <v>74</v>
      </c>
      <c r="B65" s="6">
        <v>625</v>
      </c>
      <c r="C65" s="6">
        <v>16.5</v>
      </c>
    </row>
    <row r="66">
      <c r="A66" s="2" t="s">
        <v>75</v>
      </c>
      <c r="B66" s="6">
        <v>650</v>
      </c>
      <c r="C66" s="6">
        <v>18</v>
      </c>
    </row>
    <row r="67">
      <c r="A67" s="2" t="s">
        <v>76</v>
      </c>
      <c r="B67" s="6">
        <v>675</v>
      </c>
      <c r="C67" s="6">
        <v>19.5</v>
      </c>
    </row>
    <row r="68">
      <c r="A68" s="2" t="s">
        <v>77</v>
      </c>
      <c r="B68" s="6">
        <v>700</v>
      </c>
      <c r="C68" s="6">
        <v>21</v>
      </c>
    </row>
    <row r="69">
      <c r="A69" s="2" t="s">
        <v>78</v>
      </c>
      <c r="B69" s="6">
        <v>725</v>
      </c>
      <c r="C69" s="6">
        <v>22.5</v>
      </c>
    </row>
    <row r="70">
      <c r="A70" s="2" t="s">
        <v>79</v>
      </c>
      <c r="B70" s="6">
        <v>950</v>
      </c>
      <c r="C70" s="6">
        <v>30</v>
      </c>
    </row>
    <row r="71">
      <c r="A71" s="2" t="s">
        <v>80</v>
      </c>
      <c r="B71" s="6">
        <v>1625</v>
      </c>
      <c r="C71" s="6">
        <v>45</v>
      </c>
    </row>
    <row r="72">
      <c r="A72" s="2" t="s">
        <v>81</v>
      </c>
      <c r="B72" s="6">
        <v>1350</v>
      </c>
      <c r="C72" s="6">
        <v>45</v>
      </c>
    </row>
    <row r="73">
      <c r="A73" s="2" t="s">
        <v>82</v>
      </c>
      <c r="B73" s="6">
        <v>1800</v>
      </c>
      <c r="C73" s="6">
        <v>60</v>
      </c>
    </row>
    <row r="74">
      <c r="A74" s="2" t="s">
        <v>83</v>
      </c>
      <c r="B74" s="6">
        <v>3250</v>
      </c>
      <c r="C74" s="6">
        <v>90</v>
      </c>
    </row>
  </sheetData>
  <mergeCells count="3">
    <mergeCell ref="B1:D1"/>
    <mergeCell ref="B3:D3"/>
    <mergeCell ref="B10:D10"/>
  </mergeCells>
  <dataValidations count="3">
    <dataValidation type="list" showDropDown="0" sqref="C4" allowBlank="1" showInputMessage="1" showErrorMessage="1">
      <formula1>"Pria,Wanita"</formula1>
    </dataValidation>
    <dataValidation type="list" showDropDown="0" sqref="C7" allowBlank="1" showInputMessage="1" showErrorMessage="1">
      <formula1>"Single,5 Tahun,10 Tahun"</formula1>
    </dataValidation>
    <dataValidation type="list" showDropDown="0" sqref="C8" allowBlank="1" showInputMessage="1" showErrorMessage="1">
      <formula1>"5 Tahun,6 Tahun,7 Tahun,8 Tahun,9 Tahun,10 Tahun,11 Tahun,12 Tahun,13 Tahun,14 Tahun,15 Tahun,20 Tahun,30 Tahun"</formula1>
    </dataValidation>
  </dataValidations>
</worksheet>
</file>

<file path=xl/worksheets/sheet3.xml><?xml version="1.0" encoding="utf-8"?>
<worksheet xmlns="http://schemas.openxmlformats.org/spreadsheetml/2006/main">
  <sheetViews>
    <sheetView workbookViewId="0"/>
  </sheetViews>
  <sheetFormatPr defaultColWidth="14.0" defaultRowHeight="15.0"/>
  <cols>
    <col customWidth="1" min="1" max="1" width="8"/>
    <col customWidth="1" min="2" max="2" width="36"/>
    <col customWidth="1" min="3" max="3" width="28"/>
    <col customWidth="1" min="4" max="4" width="30"/>
    <col customWidth="1" min="5" max="5" width="20"/>
  </cols>
  <sheetData>
    <row r="1" ht="28" customHeight="1">
      <c r="B1" s="3" t="s">
        <v>84</v>
      </c>
    </row>
    <row r="2">
      <c r="B2" s="11" t="s">
        <v>85</v>
      </c>
    </row>
    <row r="3">
      <c r="B3" s="5" t="s">
        <v>2</v>
      </c>
      <c r="C3" s="5" t="inlineStr">
        <is>
          <t/>
        </is>
      </c>
      <c r="D3" s="5" t="inlineStr">
        <is>
          <t/>
        </is>
      </c>
    </row>
    <row r="4">
      <c r="B4" s="10" t="s">
        <v>3</v>
      </c>
      <c r="C4" s="8" t="s">
        <v>4</v>
      </c>
    </row>
    <row r="5">
      <c r="B5" s="10" t="s">
        <v>6</v>
      </c>
      <c r="C5" s="8">
        <v>30</v>
      </c>
    </row>
    <row r="6">
      <c r="B6" s="10" t="s">
        <v>7</v>
      </c>
      <c r="C6" s="8">
        <v>100000000</v>
      </c>
    </row>
    <row r="7">
      <c r="B7" s="10" t="s">
        <v>8</v>
      </c>
      <c r="C7" s="8" t="s">
        <v>9</v>
      </c>
    </row>
    <row r="8">
      <c r="B8" s="10" t="s">
        <v>12</v>
      </c>
      <c r="C8" s="8" t="s">
        <v>13</v>
      </c>
    </row>
    <row r="9"/>
    <row r="10">
      <c r="B10" s="5" t="s">
        <v>15</v>
      </c>
      <c r="C10" s="5" t="inlineStr">
        <is>
          <t/>
        </is>
      </c>
      <c r="D10" s="5" t="inlineStr">
        <is>
          <t/>
        </is>
      </c>
    </row>
    <row r="11">
      <c r="B11" s="10" t="s">
        <v>16</v>
      </c>
      <c r="C11" s="12">
        <f>IF(C7="Single",IF(C5&lt;=85,"ELIGIBLE","TIDAK ELIGIBLE - Usia maks 85"),IF(C5&lt;=70,"ELIGIBLE","TIDAK ELIGIBLE - Usia maks 70"))</f>
        <v>0</v>
      </c>
    </row>
    <row r="12">
      <c r="B12" s="10" t="s">
        <v>17</v>
      </c>
      <c r="C12" s="12">
        <f>IF(C7="Single",IF(C6&gt;=500000000,"Banding 2","Banding 1"),IF(C6&gt;=100000000,"Banding 2","Banding 1"))</f>
        <v>0</v>
      </c>
    </row>
    <row r="13">
      <c r="B13" s="10" t="s">
        <v>18</v>
      </c>
      <c r="C13" s="9">
        <f>INDEX(B51:B61,MATCH(IF(C7="Single","Single",IF(C7="5 Tahun","5","10"))&amp;"_"&amp;LEFT(C8,FIND(" ",C8)-1),A51:A61,0))</f>
        <v>0</v>
      </c>
      <c r="D13" s="11" t="s">
        <v>19</v>
      </c>
    </row>
    <row r="14">
      <c r="B14" s="10" t="s">
        <v>23</v>
      </c>
      <c r="C14" s="9">
        <f>C13*C6/100</f>
        <v>0</v>
      </c>
      <c r="D14" s="11" t="s">
        <v>24</v>
      </c>
    </row>
    <row r="15">
      <c r="B15" s="10" t="s">
        <v>86</v>
      </c>
      <c r="C15" s="9">
        <f>INDEX(C51:C61,MATCH(IF(C7="Single","Single",IF(C7="5 Tahun","5","10"))&amp;"_"&amp;LEFT(C8,FIND(" ",C8)-1),A51:A61,0))</f>
        <v>0</v>
      </c>
      <c r="D15" s="11" t="s">
        <v>19</v>
      </c>
    </row>
    <row r="16">
      <c r="B16" s="10" t="s">
        <v>87</v>
      </c>
      <c r="C16" s="9">
        <f>C15*C6/100</f>
        <v>0</v>
      </c>
    </row>
    <row r="17">
      <c r="B17" s="10" t="s">
        <v>88</v>
      </c>
      <c r="C17" s="9">
        <f>IF(C12="Banding 2",INDEX(D51:D61,MATCH(IF(C7="Single","Single",IF(C7="5 Tahun","5","10"))&amp;"_"&amp;LEFT(C8,FIND(" ",C8)-1),A51:A61,0)),0)</f>
        <v>0</v>
      </c>
      <c r="D17" s="11" t="s">
        <v>21</v>
      </c>
    </row>
    <row r="18">
      <c r="B18" s="10" t="s">
        <v>89</v>
      </c>
      <c r="C18" s="9">
        <f>C17*C6/100</f>
        <v>0</v>
      </c>
    </row>
    <row r="19">
      <c r="B19" s="10" t="s">
        <v>90</v>
      </c>
      <c r="C19" s="12">
        <f>IF(C7="Single","Tahun ke-1",IF(C7="5 Tahun","Tahun ke-5","Tahun ke-10"))</f>
        <v>0</v>
      </c>
    </row>
    <row r="20">
      <c r="B20" s="10" t="s">
        <v>26</v>
      </c>
      <c r="C20" s="9">
        <f>IF(C7="Single",VALUE(LEFT(C8,FIND(" ",C8)-1)),IF(C7="5 Tahun",VALUE(LEFT(C8,FIND(" ",C8)-1))-4,VALUE(LEFT(C8,FIND(" ",C8)-1))-9))</f>
        <v>0</v>
      </c>
      <c r="D20" s="11" t="s">
        <v>27</v>
      </c>
    </row>
    <row r="21">
      <c r="B21" s="10" t="s">
        <v>28</v>
      </c>
      <c r="C21" s="9">
        <f>C14*C20</f>
        <v>0</v>
      </c>
    </row>
    <row r="22">
      <c r="B22" s="10" t="s">
        <v>29</v>
      </c>
      <c r="C22" s="9">
        <f>IF(C7="Single",C6*0.25/VALUE(LEFT(C8,FIND(" ",C8)-1)),C6*0.25)</f>
        <v>0</v>
      </c>
      <c r="D22" s="11" t="s">
        <v>30</v>
      </c>
    </row>
    <row r="23">
      <c r="B23" s="10" t="s">
        <v>31</v>
      </c>
      <c r="C23" s="9">
        <f>C22*VALUE(LEFT(C8,FIND(" ",C8)-1))</f>
        <v>0</v>
      </c>
    </row>
    <row r="24"/>
    <row r="25">
      <c r="B25" s="7" t="s">
        <v>32</v>
      </c>
      <c r="C25" s="9">
        <f>C21+C16+C18+C23</f>
        <v>0</v>
      </c>
    </row>
    <row r="27">
      <c r="B27" s="7" t="s">
        <v>33</v>
      </c>
    </row>
    <row r="28">
      <c r="B28" s="11" t="s">
        <v>34</v>
      </c>
    </row>
    <row r="29">
      <c r="B29" s="11" t="s">
        <v>91</v>
      </c>
    </row>
    <row r="30">
      <c r="B30" s="11" t="s">
        <v>92</v>
      </c>
    </row>
    <row r="31">
      <c r="B31" s="11" t="s">
        <v>37</v>
      </c>
    </row>
    <row r="49">
      <c r="A49" s="7" t="s">
        <v>56</v>
      </c>
    </row>
    <row r="50">
      <c r="A50" s="1" t="s">
        <v>57</v>
      </c>
      <c r="B50" s="1" t="s">
        <v>93</v>
      </c>
      <c r="C50" s="1" t="s">
        <v>94</v>
      </c>
      <c r="D50" s="1" t="s">
        <v>95</v>
      </c>
    </row>
    <row r="51">
      <c r="A51" s="2" t="s">
        <v>65</v>
      </c>
      <c r="B51" s="6">
        <v>2</v>
      </c>
      <c r="C51" s="6">
        <v>105</v>
      </c>
      <c r="D51" s="6">
        <v>3</v>
      </c>
    </row>
    <row r="52">
      <c r="A52" s="2" t="s">
        <v>70</v>
      </c>
      <c r="B52" s="6">
        <v>2</v>
      </c>
      <c r="C52" s="6">
        <v>120</v>
      </c>
      <c r="D52" s="6">
        <v>5</v>
      </c>
    </row>
    <row r="53">
      <c r="A53" s="2" t="s">
        <v>71</v>
      </c>
      <c r="B53" s="6">
        <v>2</v>
      </c>
      <c r="C53" s="6">
        <v>135</v>
      </c>
      <c r="D53" s="6">
        <v>6</v>
      </c>
    </row>
    <row r="54">
      <c r="A54" s="2" t="s">
        <v>72</v>
      </c>
      <c r="B54" s="6">
        <v>2</v>
      </c>
      <c r="C54" s="6">
        <v>170</v>
      </c>
      <c r="D54" s="6">
        <v>9</v>
      </c>
    </row>
    <row r="55">
      <c r="A55" s="2" t="s">
        <v>73</v>
      </c>
      <c r="B55" s="6">
        <v>13.5</v>
      </c>
      <c r="C55" s="6">
        <v>510</v>
      </c>
      <c r="D55" s="6">
        <v>15</v>
      </c>
    </row>
    <row r="56">
      <c r="A56" s="2" t="s">
        <v>78</v>
      </c>
      <c r="B56" s="6">
        <v>17.5</v>
      </c>
      <c r="C56" s="6">
        <v>510</v>
      </c>
      <c r="D56" s="6">
        <v>23</v>
      </c>
    </row>
    <row r="57">
      <c r="A57" s="2" t="s">
        <v>79</v>
      </c>
      <c r="B57" s="6">
        <v>20</v>
      </c>
      <c r="C57" s="6">
        <v>510</v>
      </c>
      <c r="D57" s="6">
        <v>30</v>
      </c>
    </row>
    <row r="58">
      <c r="A58" s="2" t="s">
        <v>80</v>
      </c>
      <c r="B58" s="6">
        <v>20</v>
      </c>
      <c r="C58" s="6">
        <v>510</v>
      </c>
      <c r="D58" s="6">
        <v>45</v>
      </c>
    </row>
    <row r="59">
      <c r="A59" s="2" t="s">
        <v>81</v>
      </c>
      <c r="B59" s="6">
        <v>40</v>
      </c>
      <c r="C59" s="6">
        <v>1000</v>
      </c>
      <c r="D59" s="6">
        <v>45</v>
      </c>
    </row>
    <row r="60">
      <c r="A60" s="2" t="s">
        <v>82</v>
      </c>
      <c r="B60" s="6">
        <v>40</v>
      </c>
      <c r="C60" s="6">
        <v>1100</v>
      </c>
      <c r="D60" s="6">
        <v>60</v>
      </c>
    </row>
    <row r="61">
      <c r="A61" s="2" t="s">
        <v>83</v>
      </c>
      <c r="B61" s="6">
        <v>40</v>
      </c>
      <c r="C61" s="6">
        <v>1200</v>
      </c>
      <c r="D61" s="6">
        <v>90</v>
      </c>
    </row>
  </sheetData>
  <mergeCells count="3">
    <mergeCell ref="B1:D1"/>
    <mergeCell ref="B3:D3"/>
    <mergeCell ref="B10:D10"/>
  </mergeCells>
  <dataValidations count="3">
    <dataValidation type="list" showDropDown="0" sqref="C4" allowBlank="1" showInputMessage="1" showErrorMessage="1">
      <formula1>"Pria,Wanita"</formula1>
    </dataValidation>
    <dataValidation type="list" showDropDown="0" sqref="C7" allowBlank="1" showInputMessage="1" showErrorMessage="1">
      <formula1>"Single,5 Tahun,10 Tahun"</formula1>
    </dataValidation>
    <dataValidation type="list" showDropDown="0" sqref="C8" allowBlank="1" showInputMessage="1" showErrorMessage="1">
      <formula1>"10 Tahun,15 Tahun,20 Tahun,30 Tahun"</formula1>
    </dataValidation>
  </dataValidations>
</worksheet>
</file>

<file path=xl/worksheets/sheet4.xml><?xml version="1.0" encoding="utf-8"?>
<worksheet xmlns="http://schemas.openxmlformats.org/spreadsheetml/2006/main">
  <sheetViews>
    <sheetView workbookViewId="0"/>
  </sheetViews>
  <sheetFormatPr defaultColWidth="14.0" defaultRowHeight="15.0"/>
  <cols>
    <col customWidth="1" min="1" max="1" width="8"/>
    <col customWidth="1" min="2" max="2" width="20"/>
    <col customWidth="1" min="3" max="3" width="18"/>
    <col customWidth="1" min="4" max="4" width="15"/>
    <col customWidth="1" min="5" max="5" width="15"/>
  </cols>
  <sheetData>
    <row r="1">
      <c r="B1" s="5" t="s">
        <v>96</v>
      </c>
      <c r="C1" s="5" t="inlineStr">
        <is>
          <t/>
        </is>
      </c>
      <c r="D1" s="5" t="inlineStr">
        <is>
          <t/>
        </is>
      </c>
      <c r="E1" s="5" t="inlineStr">
        <is>
          <t/>
        </is>
      </c>
    </row>
    <row r="3">
      <c r="B3" s="7" t="s">
        <v>0</v>
      </c>
    </row>
    <row r="4">
      <c r="B4" s="1" t="s">
        <v>97</v>
      </c>
      <c r="C4" s="1" t="s">
        <v>98</v>
      </c>
      <c r="D4" s="1" t="s">
        <v>99</v>
      </c>
      <c r="E4" s="1" t="s">
        <v>100</v>
      </c>
    </row>
    <row r="5">
      <c r="B5" s="2" t="s">
        <v>9</v>
      </c>
      <c r="C5" s="2" t="s">
        <v>101</v>
      </c>
      <c r="D5" s="2" t="s">
        <v>103</v>
      </c>
      <c r="E5" s="2" t="s">
        <v>107</v>
      </c>
    </row>
    <row r="6">
      <c r="B6" s="2" t="s">
        <v>9</v>
      </c>
      <c r="C6" s="2" t="s">
        <v>102</v>
      </c>
      <c r="D6" s="2" t="s">
        <v>103</v>
      </c>
      <c r="E6" s="2" t="s">
        <v>107</v>
      </c>
    </row>
    <row r="7">
      <c r="B7" s="2" t="s">
        <v>10</v>
      </c>
      <c r="C7" s="2" t="s">
        <v>101</v>
      </c>
      <c r="D7" s="2" t="s">
        <v>104</v>
      </c>
      <c r="E7" s="2" t="s">
        <v>104</v>
      </c>
    </row>
    <row r="8">
      <c r="B8" s="2" t="s">
        <v>10</v>
      </c>
      <c r="C8" s="2" t="s">
        <v>102</v>
      </c>
      <c r="D8" s="2" t="s">
        <v>104</v>
      </c>
      <c r="E8" s="2" t="s">
        <v>104</v>
      </c>
    </row>
    <row r="9">
      <c r="B9" s="2" t="s">
        <v>11</v>
      </c>
      <c r="C9" s="2" t="s">
        <v>101</v>
      </c>
      <c r="D9" s="2" t="s">
        <v>105</v>
      </c>
      <c r="E9" s="2" t="s">
        <v>106</v>
      </c>
    </row>
    <row r="10">
      <c r="B10" s="2" t="s">
        <v>11</v>
      </c>
      <c r="C10" s="2" t="s">
        <v>102</v>
      </c>
      <c r="D10" s="2" t="s">
        <v>105</v>
      </c>
      <c r="E10" s="2" t="s">
        <v>106</v>
      </c>
    </row>
    <row r="12">
      <c r="B12" s="7" t="s">
        <v>38</v>
      </c>
    </row>
    <row r="13">
      <c r="B13" s="1" t="s">
        <v>97</v>
      </c>
      <c r="C13" s="1" t="s">
        <v>98</v>
      </c>
      <c r="D13" s="1" t="s">
        <v>99</v>
      </c>
      <c r="E13" s="1" t="s">
        <v>100</v>
      </c>
    </row>
    <row r="14">
      <c r="B14" s="2" t="s">
        <v>9</v>
      </c>
      <c r="C14" s="2" t="s">
        <v>108</v>
      </c>
      <c r="D14" s="2" t="s">
        <v>110</v>
      </c>
      <c r="E14" s="2" t="s">
        <v>107</v>
      </c>
    </row>
    <row r="15">
      <c r="B15" s="2" t="s">
        <v>9</v>
      </c>
      <c r="C15" s="2" t="s">
        <v>109</v>
      </c>
      <c r="D15" s="2" t="s">
        <v>104</v>
      </c>
      <c r="E15" s="2" t="s">
        <v>107</v>
      </c>
    </row>
    <row r="16">
      <c r="B16" s="2" t="s">
        <v>9</v>
      </c>
      <c r="C16" s="2" t="s">
        <v>101</v>
      </c>
      <c r="D16" s="2" t="s">
        <v>104</v>
      </c>
      <c r="E16" s="2" t="s">
        <v>107</v>
      </c>
    </row>
    <row r="17">
      <c r="B17" s="2" t="s">
        <v>9</v>
      </c>
      <c r="C17" s="2" t="s">
        <v>102</v>
      </c>
      <c r="D17" s="2" t="s">
        <v>111</v>
      </c>
      <c r="E17" s="2" t="s">
        <v>107</v>
      </c>
    </row>
    <row r="18">
      <c r="B18" s="2" t="s">
        <v>10</v>
      </c>
      <c r="C18" s="2" t="inlineStr">
        <is>
          <t>5-15 thn</t>
        </is>
      </c>
      <c r="D18" s="2" t="s">
        <v>112</v>
      </c>
      <c r="E18" s="2" t="s">
        <v>104</v>
      </c>
    </row>
    <row r="19">
      <c r="B19" s="2" t="s">
        <v>10</v>
      </c>
      <c r="C19" s="2" t="s">
        <v>101</v>
      </c>
      <c r="D19" s="2" t="s">
        <v>106</v>
      </c>
      <c r="E19" s="2" t="s">
        <v>104</v>
      </c>
    </row>
    <row r="20">
      <c r="B20" s="2" t="s">
        <v>10</v>
      </c>
      <c r="C20" s="2" t="s">
        <v>102</v>
      </c>
      <c r="D20" s="2" t="s">
        <v>106</v>
      </c>
      <c r="E20" s="2" t="s">
        <v>104</v>
      </c>
    </row>
    <row r="21">
      <c r="B21" s="2" t="s">
        <v>11</v>
      </c>
      <c r="C21" s="2" t="s">
        <v>116</v>
      </c>
      <c r="D21" s="2" t="s">
        <v>105</v>
      </c>
      <c r="E21" s="2" t="s">
        <v>106</v>
      </c>
    </row>
    <row r="23">
      <c r="B23" s="7" t="s">
        <v>84</v>
      </c>
    </row>
    <row r="24">
      <c r="B24" s="1" t="s">
        <v>97</v>
      </c>
      <c r="C24" s="1" t="s">
        <v>98</v>
      </c>
      <c r="D24" s="1" t="s">
        <v>99</v>
      </c>
      <c r="E24" s="1" t="s">
        <v>100</v>
      </c>
    </row>
    <row r="25">
      <c r="B25" s="2" t="s">
        <v>9</v>
      </c>
      <c r="C25" s="2" t="s">
        <v>113</v>
      </c>
      <c r="D25" s="2" t="s">
        <v>110</v>
      </c>
      <c r="E25" s="2" t="s">
        <v>107</v>
      </c>
    </row>
    <row r="26">
      <c r="B26" s="2" t="s">
        <v>9</v>
      </c>
      <c r="C26" s="2" t="s">
        <v>114</v>
      </c>
      <c r="D26" s="2" t="s">
        <v>110</v>
      </c>
      <c r="E26" s="2" t="s">
        <v>107</v>
      </c>
    </row>
    <row r="27">
      <c r="B27" s="2" t="s">
        <v>9</v>
      </c>
      <c r="C27" s="2" t="s">
        <v>101</v>
      </c>
      <c r="D27" s="2" t="s">
        <v>103</v>
      </c>
      <c r="E27" s="2" t="s">
        <v>107</v>
      </c>
    </row>
    <row r="28">
      <c r="B28" s="2" t="s">
        <v>9</v>
      </c>
      <c r="C28" s="2" t="s">
        <v>102</v>
      </c>
      <c r="D28" s="2" t="s">
        <v>111</v>
      </c>
      <c r="E28" s="2" t="s">
        <v>107</v>
      </c>
    </row>
    <row r="29">
      <c r="B29" s="2" t="s">
        <v>10</v>
      </c>
      <c r="C29" s="2" t="s">
        <v>113</v>
      </c>
      <c r="D29" s="2" t="s">
        <v>104</v>
      </c>
      <c r="E29" s="2" t="s">
        <v>104</v>
      </c>
    </row>
    <row r="30">
      <c r="B30" s="2" t="s">
        <v>10</v>
      </c>
      <c r="C30" s="2" t="s">
        <v>114</v>
      </c>
      <c r="D30" s="2" t="s">
        <v>112</v>
      </c>
      <c r="E30" s="2" t="s">
        <v>104</v>
      </c>
    </row>
    <row r="31">
      <c r="B31" s="2" t="s">
        <v>10</v>
      </c>
      <c r="C31" s="2" t="s">
        <v>101</v>
      </c>
      <c r="D31" s="2" t="s">
        <v>106</v>
      </c>
      <c r="E31" s="2" t="s">
        <v>104</v>
      </c>
    </row>
    <row r="32">
      <c r="B32" s="2" t="s">
        <v>10</v>
      </c>
      <c r="C32" s="2" t="s">
        <v>102</v>
      </c>
      <c r="D32" s="2" t="s">
        <v>115</v>
      </c>
      <c r="E32" s="2" t="s">
        <v>104</v>
      </c>
    </row>
    <row r="33">
      <c r="B33" s="2" t="s">
        <v>11</v>
      </c>
      <c r="C33" s="2" t="s">
        <v>116</v>
      </c>
      <c r="D33" s="2" t="s">
        <v>105</v>
      </c>
      <c r="E33" s="2" t="s">
        <v>106</v>
      </c>
    </row>
  </sheetData>
  <mergeCells count="1">
    <mergeCell ref="B1:E1"/>
  </mergeCells>
</worksheet>
</file>

<file path=xl/worksheets/sheet5.xml><?xml version="1.0" encoding="utf-8"?>
<worksheet xmlns="http://schemas.openxmlformats.org/spreadsheetml/2006/main">
  <sheetViews>
    <sheetView workbookViewId="0"/>
  </sheetViews>
  <sheetFormatPr defaultColWidth="14.0" defaultRowHeight="15.0"/>
  <cols>
    <col customWidth="1" min="1" max="1" width="8"/>
    <col customWidth="1" min="2" max="2" width="18"/>
    <col customWidth="1" min="3" max="3" width="18"/>
    <col customWidth="1" min="4" max="4" width="18"/>
    <col customWidth="1" min="5" max="5" width="18"/>
    <col customWidth="1" min="6" max="6" width="18"/>
    <col customWidth="1" min="7" max="7" width="18"/>
    <col customWidth="1" min="8" max="8" width="18"/>
  </cols>
  <sheetData>
    <row r="1">
      <c r="B1" s="5" t="s">
        <v>117</v>
      </c>
    </row>
    <row r="3">
      <c r="B3" s="7" t="s">
        <v>118</v>
      </c>
    </row>
    <row r="5">
      <c r="B5" s="1" t="s">
        <v>119</v>
      </c>
      <c r="C5" s="1" t="s">
        <v>120</v>
      </c>
      <c r="D5" s="1" t="s">
        <v>121</v>
      </c>
      <c r="E5" s="1" t="s">
        <v>122</v>
      </c>
      <c r="F5" s="1" t="s">
        <v>123</v>
      </c>
      <c r="G5" s="1" t="s">
        <v>124</v>
      </c>
      <c r="H5" s="1" t="s">
        <v>125</v>
      </c>
    </row>
    <row r="6">
      <c r="B6" s="2" t="s">
        <v>126</v>
      </c>
      <c r="C6" s="2" t="s">
        <v>127</v>
      </c>
      <c r="D6" s="2" t="s">
        <v>128</v>
      </c>
      <c r="E6" s="2" t="s">
        <v>127</v>
      </c>
      <c r="F6" s="2" t="s">
        <v>128</v>
      </c>
      <c r="G6" s="2" t="s">
        <v>129</v>
      </c>
      <c r="H6" s="2" t="s">
        <v>130</v>
      </c>
    </row>
    <row r="7">
      <c r="B7" s="2" t="s">
        <v>131</v>
      </c>
      <c r="C7" s="2" t="s">
        <v>132</v>
      </c>
      <c r="D7" s="2" t="s">
        <v>133</v>
      </c>
      <c r="E7" s="2" t="s">
        <v>132</v>
      </c>
      <c r="F7" s="2" t="s">
        <v>133</v>
      </c>
      <c r="G7" s="2" t="s">
        <v>134</v>
      </c>
      <c r="H7" s="2" t="s">
        <v>135</v>
      </c>
    </row>
    <row r="8">
      <c r="B8" s="2" t="s">
        <v>136</v>
      </c>
      <c r="C8" s="2" t="s">
        <v>137</v>
      </c>
      <c r="D8" s="2" t="s">
        <v>138</v>
      </c>
      <c r="E8" s="2" t="s">
        <v>139</v>
      </c>
      <c r="F8" s="2" t="s">
        <v>139</v>
      </c>
      <c r="G8" s="2" t="s">
        <v>139</v>
      </c>
      <c r="H8" s="2" t="s">
        <v>140</v>
      </c>
    </row>
    <row r="9">
      <c r="B9" s="4" t="s">
        <v>141</v>
      </c>
      <c r="C9" s="4" t="s">
        <v>142</v>
      </c>
      <c r="D9" s="4" t="s">
        <v>143</v>
      </c>
      <c r="E9" s="4" t="s">
        <v>144</v>
      </c>
      <c r="F9" s="4" t="s">
        <v>145</v>
      </c>
      <c r="G9" s="4" t="s">
        <v>146</v>
      </c>
      <c r="H9" s="4" t="s">
        <v>147</v>
      </c>
    </row>
    <row r="10">
      <c r="B10" s="4" t="s">
        <v>148</v>
      </c>
      <c r="C10" s="4" t="s">
        <v>149</v>
      </c>
      <c r="D10" s="4" t="s">
        <v>150</v>
      </c>
      <c r="E10" s="4" t="s">
        <v>151</v>
      </c>
      <c r="F10" s="4" t="s">
        <v>152</v>
      </c>
      <c r="G10" s="4" t="s">
        <v>153</v>
      </c>
      <c r="H10" s="4" t="s">
        <v>154</v>
      </c>
    </row>
    <row r="12">
      <c r="B12" s="7" t="s">
        <v>155</v>
      </c>
    </row>
    <row r="13">
      <c r="B13" s="0" t="s">
        <v>156</v>
      </c>
    </row>
    <row r="14">
      <c r="B14" s="0" t="s">
        <v>157</v>
      </c>
    </row>
    <row r="15">
      <c r="B15" s="0" t="s">
        <v>158</v>
      </c>
    </row>
    <row r="16">
      <c r="B16" s="7" t="s">
        <v>159</v>
      </c>
    </row>
  </sheetData>
  <mergeCells count="1">
    <mergeCell ref="B1:H1"/>
  </mergeCells>
</worksheet>
</file>

<file path=xl/worksheets/sheet6.xml><?xml version="1.0" encoding="utf-8"?>
<worksheet xmlns="http://schemas.openxmlformats.org/spreadsheetml/2006/main">
  <sheetViews>
    <sheetView workbookViewId="0"/>
  </sheetViews>
  <sheetFormatPr defaultColWidth="14.0" defaultRowHeight="15.0"/>
  <cols>
    <col customWidth="1" min="1" max="1" width="8"/>
    <col customWidth="1" min="2" max="2" width="28"/>
    <col customWidth="1" min="3" max="3" width="32"/>
    <col customWidth="1" min="4" max="4" width="32"/>
    <col customWidth="1" min="5" max="5" width="32"/>
  </cols>
  <sheetData>
    <row r="1">
      <c r="B1" s="5" t="s">
        <v>160</v>
      </c>
    </row>
    <row r="3">
      <c r="B3" s="1" t="s">
        <v>119</v>
      </c>
      <c r="C3" s="1" t="s">
        <v>161</v>
      </c>
      <c r="D3" s="1" t="s">
        <v>162</v>
      </c>
      <c r="E3" s="1" t="s">
        <v>163</v>
      </c>
    </row>
    <row r="4">
      <c r="B4" s="4" t="s">
        <v>164</v>
      </c>
      <c r="C4" s="2" t="s">
        <v>165</v>
      </c>
      <c r="D4" s="2" t="s">
        <v>166</v>
      </c>
      <c r="E4" s="2" t="s">
        <v>167</v>
      </c>
    </row>
    <row r="5">
      <c r="B5" s="4" t="s">
        <v>168</v>
      </c>
      <c r="C5" s="2" t="s">
        <v>169</v>
      </c>
      <c r="D5" s="2" t="s">
        <v>170</v>
      </c>
      <c r="E5" s="2" t="s">
        <v>171</v>
      </c>
    </row>
    <row r="6">
      <c r="B6" s="4" t="s">
        <v>172</v>
      </c>
      <c r="C6" s="2" t="s">
        <v>173</v>
      </c>
      <c r="D6" s="2" t="s">
        <v>174</v>
      </c>
      <c r="E6" s="2" t="s">
        <v>175</v>
      </c>
    </row>
    <row r="7">
      <c r="B7" s="4" t="s">
        <v>176</v>
      </c>
      <c r="C7" s="2" t="s">
        <v>177</v>
      </c>
      <c r="D7" s="2" t="s">
        <v>177</v>
      </c>
      <c r="E7" s="2" t="s">
        <v>177</v>
      </c>
    </row>
    <row r="8">
      <c r="B8" s="4" t="s">
        <v>178</v>
      </c>
      <c r="C8" s="2" t="s">
        <v>179</v>
      </c>
      <c r="D8" s="2" t="s">
        <v>179</v>
      </c>
      <c r="E8" s="2" t="s">
        <v>179</v>
      </c>
    </row>
    <row r="9">
      <c r="B9" s="4" t="s">
        <v>180</v>
      </c>
      <c r="C9" s="2" t="s">
        <v>181</v>
      </c>
      <c r="D9" s="2" t="s">
        <v>181</v>
      </c>
      <c r="E9" s="2" t="s">
        <v>181</v>
      </c>
    </row>
    <row r="10">
      <c r="B10" s="4" t="s">
        <v>182</v>
      </c>
      <c r="C10" s="2" t="s">
        <v>183</v>
      </c>
      <c r="D10" s="2" t="s">
        <v>183</v>
      </c>
      <c r="E10" s="2" t="s">
        <v>183</v>
      </c>
    </row>
    <row r="11">
      <c r="B11" s="4" t="s">
        <v>184</v>
      </c>
      <c r="C11" s="2" t="s">
        <v>185</v>
      </c>
      <c r="D11" s="2" t="s">
        <v>185</v>
      </c>
      <c r="E11" s="2" t="s">
        <v>185</v>
      </c>
    </row>
    <row r="12">
      <c r="B12" s="4" t="s">
        <v>186</v>
      </c>
      <c r="C12" s="2" t="s">
        <v>30</v>
      </c>
      <c r="D12" s="2" t="s">
        <v>30</v>
      </c>
      <c r="E12" s="2" t="s">
        <v>30</v>
      </c>
    </row>
    <row r="13">
      <c r="B13" s="4" t="s">
        <v>187</v>
      </c>
      <c r="C13" s="2" t="s">
        <v>188</v>
      </c>
      <c r="D13" s="2" t="s">
        <v>188</v>
      </c>
      <c r="E13" s="2" t="s">
        <v>188</v>
      </c>
    </row>
    <row r="15">
      <c r="B15" s="5" t="s">
        <v>189</v>
      </c>
    </row>
    <row r="16">
      <c r="B16" s="4" t="s">
        <v>190</v>
      </c>
      <c r="C16" s="2" t="s">
        <v>191</v>
      </c>
    </row>
    <row r="17">
      <c r="B17" s="4" t="s">
        <v>192</v>
      </c>
      <c r="C17" s="2" t="s">
        <v>193</v>
      </c>
    </row>
    <row r="18">
      <c r="B18" s="4" t="s">
        <v>194</v>
      </c>
      <c r="C18" s="2" t="s">
        <v>195</v>
      </c>
    </row>
    <row r="19">
      <c r="B19" s="4" t="s">
        <v>196</v>
      </c>
      <c r="C19" s="2" t="s">
        <v>197</v>
      </c>
    </row>
    <row r="21">
      <c r="B21" s="5" t="s">
        <v>198</v>
      </c>
    </row>
    <row r="22">
      <c r="B22" s="1" t="s">
        <v>199</v>
      </c>
      <c r="C22" s="1" t="s">
        <v>200</v>
      </c>
      <c r="D22" s="1" t="s">
        <v>201</v>
      </c>
    </row>
    <row r="23">
      <c r="B23" s="2" t="s">
        <v>202</v>
      </c>
      <c r="C23" s="2" t="s">
        <v>203</v>
      </c>
      <c r="D23" s="2" t="s">
        <v>204</v>
      </c>
    </row>
    <row r="24">
      <c r="B24" s="2" t="s">
        <v>205</v>
      </c>
      <c r="C24" s="2" t="s">
        <v>206</v>
      </c>
      <c r="D24" s="2" t="s">
        <v>207</v>
      </c>
    </row>
    <row r="25">
      <c r="B25" s="2" t="s">
        <v>208</v>
      </c>
      <c r="C25" s="2" t="s">
        <v>209</v>
      </c>
      <c r="D25" s="2" t="s">
        <v>210</v>
      </c>
    </row>
    <row r="26">
      <c r="B26" s="2" t="s">
        <v>211</v>
      </c>
      <c r="C26" s="2" t="s">
        <v>212</v>
      </c>
      <c r="D26" s="2" t="s">
        <v>213</v>
      </c>
    </row>
    <row r="28">
      <c r="B28" s="7" t="s">
        <v>214</v>
      </c>
    </row>
    <row r="29">
      <c r="B29" s="11" t="s">
        <v>215</v>
      </c>
    </row>
  </sheetData>
  <mergeCells count="7">
    <mergeCell ref="B1:E1"/>
    <mergeCell ref="B15:E15"/>
    <mergeCell ref="C16:E16"/>
    <mergeCell ref="C17:E17"/>
    <mergeCell ref="C18:E18"/>
    <mergeCell ref="C19:E19"/>
    <mergeCell ref="B21:E21"/>
  </mergeCells>
</worksheet>
</file>