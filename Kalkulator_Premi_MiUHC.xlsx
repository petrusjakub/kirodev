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Konvensional" sheetId="1" r:id="rId1"/>
    <sheet name="Syariah" sheetId="2" r:id="rId2"/>
  </sheets>
</workbook>
</file>

<file path=xl/sharedStrings.xml><?xml version="1.0" encoding="utf-8"?>
<sst xmlns="http://schemas.openxmlformats.org/spreadsheetml/2006/main" count="29" uniqueCount="29">
  <si>
    <t>PETRUS JAKUB MANULIFE 087781896087</t>
  </si>
  <si>
    <t>MiUHC Konvensional - Efektif 1 September 2025</t>
  </si>
  <si>
    <t>Nama Tertanggung:</t>
  </si>
  <si>
    <t/>
  </si>
  <si>
    <t>Jenis Kelamin:</t>
  </si>
  <si>
    <t>Pria</t>
  </si>
  <si>
    <t>Tanggal Lahir:</t>
  </si>
  <si>
    <t>Usia:</t>
  </si>
  <si>
    <t>Plan:</t>
  </si>
  <si>
    <t>Plan 1</t>
  </si>
  <si>
    <t>HASIL PERHITUNGAN</t>
  </si>
  <si>
    <t>Premi Tahunan (Rp):</t>
  </si>
  <si>
    <t>Premi Bulanan (Rp):</t>
  </si>
  <si>
    <t>Key</t>
  </si>
  <si>
    <t>Plan 2</t>
  </si>
  <si>
    <t>Plan 3</t>
  </si>
  <si>
    <t>Plan 4</t>
  </si>
  <si>
    <t>Plan 5</t>
  </si>
  <si>
    <t>Pria_20-30</t>
  </si>
  <si>
    <t>Pria_31-40</t>
  </si>
  <si>
    <t>Pria_41-50</t>
  </si>
  <si>
    <t>Pria_51-60</t>
  </si>
  <si>
    <t>Pria_61-70</t>
  </si>
  <si>
    <t>Wanita_20-30</t>
  </si>
  <si>
    <t>Wanita_31-40</t>
  </si>
  <si>
    <t>Wanita_41-50</t>
  </si>
  <si>
    <t>Wanita_51-60</t>
  </si>
  <si>
    <t>Wanita_61-70</t>
  </si>
  <si>
    <t>MiUHC Syariah - Efektif 1 Januari 2024</t>
  </si>
</sst>
</file>

<file path=xl/styles.xml><?xml version="1.0" encoding="utf-8"?>
<styleSheet xmlns="http://schemas.openxmlformats.org/spreadsheetml/2006/main">
  <numFmts count="1">
    <numFmt numFmtId="164" formatCode="#,##0"/>
  </numFmts>
  <fonts count="4"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color rgb="FF00B05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B050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0" fillId="0" borderId="0" xfId="0" applyAlignment="1">
      <alignment horizontal="right"/>
    </xf>
    <xf numFmtId="164" fontId="0" fillId="0" borderId="0" xfId="0" applyNumberFormat="1"/>
    <xf numFmtId="0" fontId="0" fillId="3" borderId="1" xfId="0" applyFill="1" applyBorder="1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a.me/6287781896087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a.me/62877818960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22" customWidth="1"/>
    <col min="2" max="2" width="24" customWidth="1"/>
    <col min="3" max="7" width="16" customWidth="1"/>
  </cols>
  <sheetData>
    <row r="1">
      <c r="A1" t="s" s="3">
        <v>0</v>
      </c>
    </row>
    <row r="2">
      <c r="A2" t="s" s="1">
        <v>1</v>
      </c>
    </row>
    <row r="3"/>
    <row r="4">
      <c r="A4" t="s" s="1">
        <v>2</v>
      </c>
      <c r="B4" t="s" s="6">
        <v>3</v>
      </c>
    </row>
    <row r="5">
      <c r="A5" t="s" s="1">
        <v>4</v>
      </c>
      <c r="B5" t="s" s="6">
        <v>5</v>
      </c>
    </row>
    <row r="6">
      <c r="A6" t="s" s="1">
        <v>6</v>
      </c>
      <c r="B6" t="s" s="6">
        <v>3</v>
      </c>
    </row>
    <row r="7">
      <c r="A7" t="s" s="1">
        <v>7</v>
      </c>
      <c r="B7" s="0">
        <f>INT((TODAY()-B6)/365.25)</f>
        <v>0</v>
      </c>
    </row>
    <row r="8">
      <c r="A8" t="s" s="1">
        <v>8</v>
      </c>
      <c r="B8" t="s" s="6">
        <v>9</v>
      </c>
    </row>
    <row r="9"/>
    <row r="10">
      <c r="A10" t="s" s="2">
        <v>10</v>
      </c>
    </row>
    <row r="11">
      <c r="A11" t="s" s="1">
        <v>11</v>
      </c>
      <c r="B11" s="5">
        <f>IFERROR(INDEX(B16:F25,MATCH(B5&amp;"_"&amp;IF(B7&lt;=30,"20-30",IF(B7&lt;=40,"31-40",IF(B7&lt;=50,"41-50",IF(B7&lt;=60,"51-60","61-70")))),A16:A25,0),MATCH(B8,B15:F15,0)),"")</f>
        <v>0</v>
      </c>
    </row>
    <row r="12">
      <c r="A12" t="s" s="1">
        <v>12</v>
      </c>
      <c r="B12" s="5">
        <f>IFERROR(B11/10,"")</f>
        <v>0</v>
      </c>
    </row>
    <row r="13"/>
    <row r="14"/>
    <row r="15">
      <c r="A15" t="s" s="1">
        <v>13</v>
      </c>
      <c r="B15" t="s" s="1">
        <v>9</v>
      </c>
      <c r="C15" t="s" s="1">
        <v>14</v>
      </c>
      <c r="D15" t="s" s="1">
        <v>15</v>
      </c>
      <c r="E15" t="s" s="1">
        <v>16</v>
      </c>
      <c r="F15" t="s" s="1">
        <v>17</v>
      </c>
    </row>
    <row r="16">
      <c r="A16" t="s" s="0">
        <v>18</v>
      </c>
      <c r="B16" s="5">
        <v>3500000</v>
      </c>
      <c r="C16" s="5">
        <v>5200000</v>
      </c>
      <c r="D16" s="5">
        <v>7800000</v>
      </c>
      <c r="E16" s="5">
        <v>11500000</v>
      </c>
      <c r="F16" s="5">
        <v>16800000</v>
      </c>
    </row>
    <row r="17">
      <c r="A17" t="s" s="0">
        <v>19</v>
      </c>
      <c r="B17" s="5">
        <v>4200000</v>
      </c>
      <c r="C17" s="5">
        <v>6300000</v>
      </c>
      <c r="D17" s="5">
        <v>9500000</v>
      </c>
      <c r="E17" s="5">
        <v>14000000</v>
      </c>
      <c r="F17" s="5">
        <v>20500000</v>
      </c>
    </row>
    <row r="18">
      <c r="A18" t="s" s="0">
        <v>20</v>
      </c>
      <c r="B18" s="5">
        <v>5800000</v>
      </c>
      <c r="C18" s="5">
        <v>8700000</v>
      </c>
      <c r="D18" s="5">
        <v>13000000</v>
      </c>
      <c r="E18" s="5">
        <v>19500000</v>
      </c>
      <c r="F18" s="5">
        <v>28500000</v>
      </c>
    </row>
    <row r="19">
      <c r="A19" t="s" s="0">
        <v>21</v>
      </c>
      <c r="B19" s="5">
        <v>8500000</v>
      </c>
      <c r="C19" s="5">
        <v>12500000</v>
      </c>
      <c r="D19" s="5">
        <v>18800000</v>
      </c>
      <c r="E19" s="5">
        <v>28000000</v>
      </c>
      <c r="F19" s="5">
        <v>41000000</v>
      </c>
    </row>
    <row r="20">
      <c r="A20" t="s" s="0">
        <v>22</v>
      </c>
      <c r="B20" s="5">
        <v>12000000</v>
      </c>
      <c r="C20" s="5">
        <v>17500000</v>
      </c>
      <c r="D20" s="5">
        <v>26000000</v>
      </c>
      <c r="E20" s="5">
        <v>39000000</v>
      </c>
      <c r="F20" s="5">
        <v>57000000</v>
      </c>
    </row>
    <row r="21">
      <c r="A21" t="s" s="0">
        <v>23</v>
      </c>
      <c r="B21" s="5">
        <v>3800000</v>
      </c>
      <c r="C21" s="5">
        <v>5600000</v>
      </c>
      <c r="D21" s="5">
        <v>8400000</v>
      </c>
      <c r="E21" s="5">
        <v>12500000</v>
      </c>
      <c r="F21" s="5">
        <v>18200000</v>
      </c>
    </row>
    <row r="22">
      <c r="A22" t="s" s="0">
        <v>24</v>
      </c>
      <c r="B22" s="5">
        <v>4500000</v>
      </c>
      <c r="C22" s="5">
        <v>6800000</v>
      </c>
      <c r="D22" s="5">
        <v>10200000</v>
      </c>
      <c r="E22" s="5">
        <v>15200000</v>
      </c>
      <c r="F22" s="5">
        <v>22000000</v>
      </c>
    </row>
    <row r="23">
      <c r="A23" t="s" s="0">
        <v>25</v>
      </c>
      <c r="B23" s="5">
        <v>6200000</v>
      </c>
      <c r="C23" s="5">
        <v>9300000</v>
      </c>
      <c r="D23" s="5">
        <v>14000000</v>
      </c>
      <c r="E23" s="5">
        <v>21000000</v>
      </c>
      <c r="F23" s="5">
        <v>30500000</v>
      </c>
    </row>
    <row r="24">
      <c r="A24" t="s" s="0">
        <v>26</v>
      </c>
      <c r="B24" s="5">
        <v>9000000</v>
      </c>
      <c r="C24" s="5">
        <v>13200000</v>
      </c>
      <c r="D24" s="5">
        <v>20000000</v>
      </c>
      <c r="E24" s="5">
        <v>30000000</v>
      </c>
      <c r="F24" s="5">
        <v>43500000</v>
      </c>
    </row>
    <row r="25">
      <c r="A25" t="s" s="0">
        <v>27</v>
      </c>
      <c r="B25" s="5">
        <v>12800000</v>
      </c>
      <c r="C25" s="5">
        <v>18500000</v>
      </c>
      <c r="D25" s="5">
        <v>27500000</v>
      </c>
      <c r="E25" s="5">
        <v>41500000</v>
      </c>
      <c r="F25" s="5">
        <v>60000000</v>
      </c>
    </row>
  </sheetData>
  <mergeCells count="1">
    <mergeCell ref="A1:F1"/>
  </mergeCells>
  <dataValidations count="2">
    <dataValidation type="list" allowBlank="1" sqref="B5">
      <formula1>"Pria,Wanita"</formula1>
    </dataValidation>
    <dataValidation type="list" allowBlank="1" sqref="B8">
      <formula1>"Plan 1,Plan 2,Plan 3,Plan 4,Plan 5"</formula1>
    </dataValidation>
  </dataValidations>
  <hyperlinks>
    <hyperlink ref="A1" r:id="rId1"/>
  </hyperlinks>
</worksheet>
</file>

<file path=xl/worksheets/sheet2.xml><?xml version="1.0" encoding="utf-8"?>
<worksheet xmlns="http://schemas.openxmlformats.org/spreadsheetml/2006/main" xmlns:r="http://schemas.openxmlformats.org/officeDocument/2006/relationships">
  <cols>
    <col min="1" max="1" width="22" customWidth="1"/>
    <col min="2" max="2" width="24" customWidth="1"/>
    <col min="3" max="7" width="16" customWidth="1"/>
  </cols>
  <sheetData>
    <row r="1">
      <c r="A1" t="s" s="3">
        <v>0</v>
      </c>
    </row>
    <row r="2">
      <c r="A2" t="s" s="1">
        <v>28</v>
      </c>
    </row>
    <row r="3"/>
    <row r="4">
      <c r="A4" t="s" s="1">
        <v>2</v>
      </c>
      <c r="B4" t="s" s="6">
        <v>3</v>
      </c>
    </row>
    <row r="5">
      <c r="A5" t="s" s="1">
        <v>4</v>
      </c>
      <c r="B5" t="s" s="6">
        <v>5</v>
      </c>
    </row>
    <row r="6">
      <c r="A6" t="s" s="1">
        <v>6</v>
      </c>
      <c r="B6" t="s" s="6">
        <v>3</v>
      </c>
    </row>
    <row r="7">
      <c r="A7" t="s" s="1">
        <v>7</v>
      </c>
      <c r="B7" s="0">
        <f>INT((TODAY()-B6)/365.25)</f>
        <v>0</v>
      </c>
    </row>
    <row r="8">
      <c r="A8" t="s" s="1">
        <v>8</v>
      </c>
      <c r="B8" t="s" s="6">
        <v>9</v>
      </c>
    </row>
    <row r="9"/>
    <row r="10">
      <c r="A10" t="s" s="2">
        <v>10</v>
      </c>
    </row>
    <row r="11">
      <c r="A11" t="s" s="1">
        <v>11</v>
      </c>
      <c r="B11" s="5">
        <f>IFERROR(INDEX(B16:F25,MATCH(B5&amp;"_"&amp;IF(B7&lt;=30,"20-30",IF(B7&lt;=40,"31-40",IF(B7&lt;=50,"41-50",IF(B7&lt;=60,"51-60","61-70")))),A16:A25,0),MATCH(B8,B15:F15,0)),"")</f>
        <v>0</v>
      </c>
    </row>
    <row r="12">
      <c r="A12" t="s" s="1">
        <v>12</v>
      </c>
      <c r="B12" s="5">
        <f>IFERROR(B11/10,"")</f>
        <v>0</v>
      </c>
    </row>
    <row r="13"/>
    <row r="14"/>
    <row r="15">
      <c r="A15" t="s" s="1">
        <v>13</v>
      </c>
      <c r="B15" t="s" s="1">
        <v>9</v>
      </c>
      <c r="C15" t="s" s="1">
        <v>14</v>
      </c>
      <c r="D15" t="s" s="1">
        <v>15</v>
      </c>
      <c r="E15" t="s" s="1">
        <v>16</v>
      </c>
      <c r="F15" t="s" s="1">
        <v>17</v>
      </c>
    </row>
    <row r="16">
      <c r="A16" t="s" s="0">
        <v>18</v>
      </c>
      <c r="B16" s="5">
        <v>3500000</v>
      </c>
      <c r="C16" s="5">
        <v>5200000</v>
      </c>
      <c r="D16" s="5">
        <v>7800000</v>
      </c>
      <c r="E16" s="5">
        <v>11500000</v>
      </c>
      <c r="F16" s="5">
        <v>16800000</v>
      </c>
    </row>
    <row r="17">
      <c r="A17" t="s" s="0">
        <v>19</v>
      </c>
      <c r="B17" s="5">
        <v>4200000</v>
      </c>
      <c r="C17" s="5">
        <v>6300000</v>
      </c>
      <c r="D17" s="5">
        <v>9500000</v>
      </c>
      <c r="E17" s="5">
        <v>14000000</v>
      </c>
      <c r="F17" s="5">
        <v>20500000</v>
      </c>
    </row>
    <row r="18">
      <c r="A18" t="s" s="0">
        <v>20</v>
      </c>
      <c r="B18" s="5">
        <v>5800000</v>
      </c>
      <c r="C18" s="5">
        <v>8700000</v>
      </c>
      <c r="D18" s="5">
        <v>13000000</v>
      </c>
      <c r="E18" s="5">
        <v>19500000</v>
      </c>
      <c r="F18" s="5">
        <v>28500000</v>
      </c>
    </row>
    <row r="19">
      <c r="A19" t="s" s="0">
        <v>21</v>
      </c>
      <c r="B19" s="5">
        <v>8500000</v>
      </c>
      <c r="C19" s="5">
        <v>12500000</v>
      </c>
      <c r="D19" s="5">
        <v>18800000</v>
      </c>
      <c r="E19" s="5">
        <v>28000000</v>
      </c>
      <c r="F19" s="5">
        <v>41000000</v>
      </c>
    </row>
    <row r="20">
      <c r="A20" t="s" s="0">
        <v>22</v>
      </c>
      <c r="B20" s="5">
        <v>12000000</v>
      </c>
      <c r="C20" s="5">
        <v>17500000</v>
      </c>
      <c r="D20" s="5">
        <v>26000000</v>
      </c>
      <c r="E20" s="5">
        <v>39000000</v>
      </c>
      <c r="F20" s="5">
        <v>57000000</v>
      </c>
    </row>
    <row r="21">
      <c r="A21" t="s" s="0">
        <v>23</v>
      </c>
      <c r="B21" s="5">
        <v>3800000</v>
      </c>
      <c r="C21" s="5">
        <v>5600000</v>
      </c>
      <c r="D21" s="5">
        <v>8400000</v>
      </c>
      <c r="E21" s="5">
        <v>12500000</v>
      </c>
      <c r="F21" s="5">
        <v>18200000</v>
      </c>
    </row>
    <row r="22">
      <c r="A22" t="s" s="0">
        <v>24</v>
      </c>
      <c r="B22" s="5">
        <v>4500000</v>
      </c>
      <c r="C22" s="5">
        <v>6800000</v>
      </c>
      <c r="D22" s="5">
        <v>10200000</v>
      </c>
      <c r="E22" s="5">
        <v>15200000</v>
      </c>
      <c r="F22" s="5">
        <v>22000000</v>
      </c>
    </row>
    <row r="23">
      <c r="A23" t="s" s="0">
        <v>25</v>
      </c>
      <c r="B23" s="5">
        <v>6200000</v>
      </c>
      <c r="C23" s="5">
        <v>9300000</v>
      </c>
      <c r="D23" s="5">
        <v>14000000</v>
      </c>
      <c r="E23" s="5">
        <v>21000000</v>
      </c>
      <c r="F23" s="5">
        <v>30500000</v>
      </c>
    </row>
    <row r="24">
      <c r="A24" t="s" s="0">
        <v>26</v>
      </c>
      <c r="B24" s="5">
        <v>9000000</v>
      </c>
      <c r="C24" s="5">
        <v>13200000</v>
      </c>
      <c r="D24" s="5">
        <v>20000000</v>
      </c>
      <c r="E24" s="5">
        <v>30000000</v>
      </c>
      <c r="F24" s="5">
        <v>43500000</v>
      </c>
    </row>
    <row r="25">
      <c r="A25" t="s" s="0">
        <v>27</v>
      </c>
      <c r="B25" s="5">
        <v>12800000</v>
      </c>
      <c r="C25" s="5">
        <v>18500000</v>
      </c>
      <c r="D25" s="5">
        <v>27500000</v>
      </c>
      <c r="E25" s="5">
        <v>41500000</v>
      </c>
      <c r="F25" s="5">
        <v>60000000</v>
      </c>
    </row>
  </sheetData>
  <mergeCells count="1">
    <mergeCell ref="A1:F1"/>
  </mergeCells>
  <dataValidations count="2">
    <dataValidation type="list" allowBlank="1" sqref="B5">
      <formula1>"Pria,Wanita"</formula1>
    </dataValidation>
    <dataValidation type="list" allowBlank="1" sqref="B8">
      <formula1>"Plan 1,Plan 2,Plan 3,Plan 4,Plan 5"</formula1>
    </dataValidation>
  </dataValidations>
  <hyperlinks>
    <hyperlink ref="A1" r:id="rId1"/>
  </hyperlinks>
</worksheet>
</file>