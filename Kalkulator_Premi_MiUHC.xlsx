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Konvensional" sheetId="1" r:id="rId1"/>
    <sheet name="Syariah" sheetId="2" r:id="rId2"/>
  </sheets>
</workbook>
</file>

<file path=xl/sharedStrings.xml><?xml version="1.0" encoding="utf-8"?>
<sst xmlns="http://schemas.openxmlformats.org/spreadsheetml/2006/main" count="39" uniqueCount="39">
  <si>
    <t>PETRUS JAKUB MANULIFE 087781896087</t>
  </si>
  <si>
    <t>KALKULATOR PREMI MIUHC - Berlaku mulai 1 September 2025</t>
  </si>
  <si>
    <t>Nama Tertanggung:</t>
  </si>
  <si>
    <t/>
  </si>
  <si>
    <t>Jenis Kelamin:</t>
  </si>
  <si>
    <t>Laki-Laki</t>
  </si>
  <si>
    <t>Tanggal Lahir:</t>
  </si>
  <si>
    <t>Usia:</t>
  </si>
  <si>
    <t>Plan:</t>
  </si>
  <si>
    <t>Plan 1 (100/200)</t>
  </si>
  <si>
    <t>HASIL PERHITUNGAN</t>
  </si>
  <si>
    <t>Premi Tahunan (Rp):</t>
  </si>
  <si>
    <t>Premi Bulanan (Rp):</t>
  </si>
  <si>
    <t>Key</t>
  </si>
  <si>
    <t>Plan 2 (200/400)</t>
  </si>
  <si>
    <t>Plan 3 (400/800)</t>
  </si>
  <si>
    <t>Plan 4 (600/1.200)</t>
  </si>
  <si>
    <t>Plan 5 (1.000/2.000)</t>
  </si>
  <si>
    <t>Laki-Laki_20-30</t>
  </si>
  <si>
    <t>Laki-Laki_31-40</t>
  </si>
  <si>
    <t>Laki-Laki_41-50</t>
  </si>
  <si>
    <t>Laki-Laki_51-60</t>
  </si>
  <si>
    <t>Laki-Laki_61-70</t>
  </si>
  <si>
    <t>Perempuan_20-30</t>
  </si>
  <si>
    <t>Perempuan_31-40</t>
  </si>
  <si>
    <t>Perempuan_41-50</t>
  </si>
  <si>
    <t>Perempuan_51-60</t>
  </si>
  <si>
    <t>Perempuan_61-70</t>
  </si>
  <si>
    <t>TABEL LENGKAP PREMI MIUHC</t>
  </si>
  <si>
    <t>Usia</t>
  </si>
  <si>
    <t>Perempuan</t>
  </si>
  <si>
    <t>20-30</t>
  </si>
  <si>
    <t>31-40</t>
  </si>
  <si>
    <t>41-50</t>
  </si>
  <si>
    <t>51-60</t>
  </si>
  <si>
    <t>61-70</t>
  </si>
  <si>
    <t>© PETRUS JAKUB MANULIFE 087781896087</t>
  </si>
  <si>
    <t>KALKULATOR KONTRIBUSI MIUHC SYARIAH - Berlaku mulai 1 Januari 2024</t>
  </si>
  <si>
    <t>TABEL LENGKAP KONTRIBUSI MIUHC SYARIAH</t>
  </si>
</sst>
</file>

<file path=xl/styles.xml><?xml version="1.0" encoding="utf-8"?>
<styleSheet xmlns="http://schemas.openxmlformats.org/spreadsheetml/2006/main">
  <numFmts count="1">
    <numFmt numFmtId="164" formatCode="#,##0"/>
  </numFmts>
  <fonts count="4">
    <font>
      <sz val="11"/>
      <name val="Calibri"/>
    </font>
    <font>
      <b/>
      <sz val="11"/>
      <name val="Calibri"/>
    </font>
    <font>
      <b/>
      <sz val="11"/>
      <color rgb="FFFFFFFF"/>
      <name val="Calibri"/>
    </font>
    <font>
      <b/>
      <sz val="11"/>
      <color rgb="FF00B05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B050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0" fillId="0" borderId="0" xfId="0" applyAlignment="1">
      <alignment horizontal="right"/>
    </xf>
    <xf numFmtId="164" fontId="0" fillId="0" borderId="0" xfId="0" applyNumberFormat="1"/>
    <xf numFmtId="0" fontId="0" fillId="3" borderId="1" xfId="0" applyFill="1" applyBorder="1"/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a.me/6287781896087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a.me/62877818960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22" customWidth="1"/>
    <col min="2" max="2" width="24" customWidth="1"/>
    <col min="3" max="7" width="16" customWidth="1"/>
  </cols>
  <sheetData>
    <row r="1">
      <c r="A1" t="s" s="3">
        <v>0</v>
      </c>
    </row>
    <row r="2">
      <c r="A2" t="s" s="1">
        <v>1</v>
      </c>
    </row>
    <row r="3"/>
    <row r="4">
      <c r="A4" t="s" s="1">
        <v>2</v>
      </c>
      <c r="B4" t="s" s="6">
        <v>3</v>
      </c>
    </row>
    <row r="5">
      <c r="A5" t="s" s="1">
        <v>4</v>
      </c>
      <c r="B5" t="s" s="6">
        <v>5</v>
      </c>
    </row>
    <row r="6">
      <c r="A6" t="s" s="1">
        <v>6</v>
      </c>
      <c r="B6" t="s" s="6">
        <v>3</v>
      </c>
    </row>
    <row r="7">
      <c r="A7" t="s" s="1">
        <v>7</v>
      </c>
      <c r="B7" s="0">
        <f>INT((TODAY()-B6)/365.25)</f>
        <v>0</v>
      </c>
    </row>
    <row r="8">
      <c r="A8" t="s" s="1">
        <v>8</v>
      </c>
      <c r="B8" t="s" s="6">
        <v>9</v>
      </c>
    </row>
    <row r="9"/>
    <row r="10">
      <c r="A10" t="s" s="2">
        <v>10</v>
      </c>
    </row>
    <row r="11">
      <c r="A11" t="s" s="1">
        <v>11</v>
      </c>
      <c r="B11" s="5">
        <f>IFERROR(INDEX(B16:F25,MATCH(B5&amp;"_"&amp;IF(B7&lt;=30,"20-30",IF(B7&lt;=40,"31-40",IF(B7&lt;=50,"41-50",IF(B7&lt;=60,"51-60","61-70")))),A16:A25,0),MATCH(B8,B15:F15,0)),"")</f>
        <v>0</v>
      </c>
    </row>
    <row r="12">
      <c r="A12" t="s" s="1">
        <v>12</v>
      </c>
      <c r="B12" s="5">
        <f>IFERROR(B11/10,"")</f>
        <v>0</v>
      </c>
    </row>
    <row r="13"/>
    <row r="14"/>
    <row r="15">
      <c r="A15" t="s" s="1">
        <v>13</v>
      </c>
      <c r="B15" t="s" s="1">
        <v>9</v>
      </c>
      <c r="C15" t="s" s="1">
        <v>14</v>
      </c>
      <c r="D15" t="s" s="1">
        <v>15</v>
      </c>
      <c r="E15" t="s" s="1">
        <v>16</v>
      </c>
      <c r="F15" t="s" s="1">
        <v>17</v>
      </c>
    </row>
    <row r="16">
      <c r="A16" t="s" s="0">
        <v>18</v>
      </c>
      <c r="B16" s="5">
        <v>2380000</v>
      </c>
      <c r="C16" s="5">
        <v>3570000</v>
      </c>
      <c r="D16" s="5">
        <v>5950000</v>
      </c>
      <c r="E16" s="5">
        <v>8330000</v>
      </c>
      <c r="F16" s="5">
        <v>11900000</v>
      </c>
    </row>
    <row r="17">
      <c r="A17" t="s" s="0">
        <v>19</v>
      </c>
      <c r="B17" s="5">
        <v>3710000</v>
      </c>
      <c r="C17" s="5">
        <v>5570000</v>
      </c>
      <c r="D17" s="5">
        <v>9280000</v>
      </c>
      <c r="E17" s="5">
        <v>12990000</v>
      </c>
      <c r="F17" s="5">
        <v>18560000</v>
      </c>
    </row>
    <row r="18">
      <c r="A18" t="s" s="0">
        <v>20</v>
      </c>
      <c r="B18" s="5">
        <v>5040000</v>
      </c>
      <c r="C18" s="5">
        <v>7560000</v>
      </c>
      <c r="D18" s="5">
        <v>12600000</v>
      </c>
      <c r="E18" s="5">
        <v>17640000</v>
      </c>
      <c r="F18" s="5">
        <v>25200000</v>
      </c>
    </row>
    <row r="19">
      <c r="A19" t="s" s="0">
        <v>21</v>
      </c>
      <c r="B19" s="5">
        <v>6370000</v>
      </c>
      <c r="C19" s="5">
        <v>9560000</v>
      </c>
      <c r="D19" s="5">
        <v>15930000</v>
      </c>
      <c r="E19" s="5">
        <v>22300000</v>
      </c>
      <c r="F19" s="5">
        <v>31860000</v>
      </c>
    </row>
    <row r="20">
      <c r="A20" t="s" s="0">
        <v>22</v>
      </c>
      <c r="B20" s="5">
        <v>8360000</v>
      </c>
      <c r="C20" s="5">
        <v>12540000</v>
      </c>
      <c r="D20" s="5">
        <v>20900000</v>
      </c>
      <c r="E20" s="5">
        <v>29260000</v>
      </c>
      <c r="F20" s="5">
        <v>41800000</v>
      </c>
    </row>
    <row r="21">
      <c r="A21" t="s" s="0">
        <v>23</v>
      </c>
      <c r="B21" s="5">
        <v>3430000</v>
      </c>
      <c r="C21" s="5">
        <v>5150000</v>
      </c>
      <c r="D21" s="5">
        <v>8580000</v>
      </c>
      <c r="E21" s="5">
        <v>12010000</v>
      </c>
      <c r="F21" s="5">
        <v>17160000</v>
      </c>
    </row>
    <row r="22">
      <c r="A22" t="s" s="0">
        <v>24</v>
      </c>
      <c r="B22" s="5">
        <v>4760000</v>
      </c>
      <c r="C22" s="5">
        <v>7150000</v>
      </c>
      <c r="D22" s="5">
        <v>11910000</v>
      </c>
      <c r="E22" s="5">
        <v>16670000</v>
      </c>
      <c r="F22" s="5">
        <v>23820000</v>
      </c>
    </row>
    <row r="23">
      <c r="A23" t="s" s="0">
        <v>25</v>
      </c>
      <c r="B23" s="5">
        <v>6090000</v>
      </c>
      <c r="C23" s="5">
        <v>9140000</v>
      </c>
      <c r="D23" s="5">
        <v>15230000</v>
      </c>
      <c r="E23" s="5">
        <v>21320000</v>
      </c>
      <c r="F23" s="5">
        <v>30460000</v>
      </c>
    </row>
    <row r="24">
      <c r="A24" t="s" s="0">
        <v>26</v>
      </c>
      <c r="B24" s="5">
        <v>7420000</v>
      </c>
      <c r="C24" s="5">
        <v>11140000</v>
      </c>
      <c r="D24" s="5">
        <v>18560000</v>
      </c>
      <c r="E24" s="5">
        <v>25980000</v>
      </c>
      <c r="F24" s="5">
        <v>37120000</v>
      </c>
    </row>
    <row r="25">
      <c r="A25" t="s" s="0">
        <v>27</v>
      </c>
      <c r="B25" s="5">
        <v>9410000</v>
      </c>
      <c r="C25" s="5">
        <v>14120000</v>
      </c>
      <c r="D25" s="5">
        <v>23530000</v>
      </c>
      <c r="E25" s="5">
        <v>32940000</v>
      </c>
      <c r="F25" s="5">
        <v>47060000</v>
      </c>
    </row>
    <row r="26"/>
    <row r="27">
      <c r="A27" t="s" s="2">
        <v>28</v>
      </c>
    </row>
    <row r="28"/>
    <row r="29">
      <c r="A29" t="s" s="1">
        <v>9</v>
      </c>
    </row>
    <row r="30">
      <c r="A30" t="s" s="1">
        <v>29</v>
      </c>
      <c r="B30" t="s" s="1">
        <v>5</v>
      </c>
      <c r="C30" t="s" s="1">
        <v>30</v>
      </c>
    </row>
    <row r="31">
      <c r="A31" t="s" s="0">
        <v>31</v>
      </c>
      <c r="B31" s="5">
        <v>2380000</v>
      </c>
      <c r="C31" s="5">
        <v>3430000</v>
      </c>
    </row>
    <row r="32">
      <c r="A32" t="s" s="0">
        <v>32</v>
      </c>
      <c r="B32" s="5">
        <v>3710000</v>
      </c>
      <c r="C32" s="5">
        <v>4760000</v>
      </c>
    </row>
    <row r="33">
      <c r="A33" t="s" s="0">
        <v>33</v>
      </c>
      <c r="B33" s="5">
        <v>5040000</v>
      </c>
      <c r="C33" s="5">
        <v>6090000</v>
      </c>
    </row>
    <row r="34">
      <c r="A34" t="s" s="0">
        <v>34</v>
      </c>
      <c r="B34" s="5">
        <v>6370000</v>
      </c>
      <c r="C34" s="5">
        <v>7420000</v>
      </c>
    </row>
    <row r="35">
      <c r="A35" t="s" s="0">
        <v>35</v>
      </c>
      <c r="B35" s="5">
        <v>8360000</v>
      </c>
      <c r="C35" s="5">
        <v>9410000</v>
      </c>
    </row>
    <row r="36"/>
    <row r="37">
      <c r="A37" t="s" s="1">
        <v>14</v>
      </c>
    </row>
    <row r="38">
      <c r="A38" t="s" s="1">
        <v>29</v>
      </c>
      <c r="B38" t="s" s="1">
        <v>5</v>
      </c>
      <c r="C38" t="s" s="1">
        <v>30</v>
      </c>
    </row>
    <row r="39">
      <c r="A39" t="s" s="0">
        <v>31</v>
      </c>
      <c r="B39" s="5">
        <v>3570000</v>
      </c>
      <c r="C39" s="5">
        <v>5150000</v>
      </c>
    </row>
    <row r="40">
      <c r="A40" t="s" s="0">
        <v>32</v>
      </c>
      <c r="B40" s="5">
        <v>5570000</v>
      </c>
      <c r="C40" s="5">
        <v>7150000</v>
      </c>
    </row>
    <row r="41">
      <c r="A41" t="s" s="0">
        <v>33</v>
      </c>
      <c r="B41" s="5">
        <v>7560000</v>
      </c>
      <c r="C41" s="5">
        <v>9140000</v>
      </c>
    </row>
    <row r="42">
      <c r="A42" t="s" s="0">
        <v>34</v>
      </c>
      <c r="B42" s="5">
        <v>9560000</v>
      </c>
      <c r="C42" s="5">
        <v>11140000</v>
      </c>
    </row>
    <row r="43">
      <c r="A43" t="s" s="0">
        <v>35</v>
      </c>
      <c r="B43" s="5">
        <v>12540000</v>
      </c>
      <c r="C43" s="5">
        <v>14120000</v>
      </c>
    </row>
    <row r="44"/>
    <row r="45">
      <c r="A45" t="s" s="1">
        <v>15</v>
      </c>
    </row>
    <row r="46">
      <c r="A46" t="s" s="1">
        <v>29</v>
      </c>
      <c r="B46" t="s" s="1">
        <v>5</v>
      </c>
      <c r="C46" t="s" s="1">
        <v>30</v>
      </c>
    </row>
    <row r="47">
      <c r="A47" t="s" s="0">
        <v>31</v>
      </c>
      <c r="B47" s="5">
        <v>5950000</v>
      </c>
      <c r="C47" s="5">
        <v>8580000</v>
      </c>
    </row>
    <row r="48">
      <c r="A48" t="s" s="0">
        <v>32</v>
      </c>
      <c r="B48" s="5">
        <v>9280000</v>
      </c>
      <c r="C48" s="5">
        <v>11910000</v>
      </c>
    </row>
    <row r="49">
      <c r="A49" t="s" s="0">
        <v>33</v>
      </c>
      <c r="B49" s="5">
        <v>12600000</v>
      </c>
      <c r="C49" s="5">
        <v>15230000</v>
      </c>
    </row>
    <row r="50">
      <c r="A50" t="s" s="0">
        <v>34</v>
      </c>
      <c r="B50" s="5">
        <v>15930000</v>
      </c>
      <c r="C50" s="5">
        <v>18560000</v>
      </c>
    </row>
    <row r="51">
      <c r="A51" t="s" s="0">
        <v>35</v>
      </c>
      <c r="B51" s="5">
        <v>20900000</v>
      </c>
      <c r="C51" s="5">
        <v>23530000</v>
      </c>
    </row>
    <row r="52"/>
    <row r="53">
      <c r="A53" t="s" s="1">
        <v>16</v>
      </c>
    </row>
    <row r="54">
      <c r="A54" t="s" s="1">
        <v>29</v>
      </c>
      <c r="B54" t="s" s="1">
        <v>5</v>
      </c>
      <c r="C54" t="s" s="1">
        <v>30</v>
      </c>
    </row>
    <row r="55">
      <c r="A55" t="s" s="0">
        <v>31</v>
      </c>
      <c r="B55" s="5">
        <v>8330000</v>
      </c>
      <c r="C55" s="5">
        <v>12010000</v>
      </c>
    </row>
    <row r="56">
      <c r="A56" t="s" s="0">
        <v>32</v>
      </c>
      <c r="B56" s="5">
        <v>12990000</v>
      </c>
      <c r="C56" s="5">
        <v>16670000</v>
      </c>
    </row>
    <row r="57">
      <c r="A57" t="s" s="0">
        <v>33</v>
      </c>
      <c r="B57" s="5">
        <v>17640000</v>
      </c>
      <c r="C57" s="5">
        <v>21320000</v>
      </c>
    </row>
    <row r="58">
      <c r="A58" t="s" s="0">
        <v>34</v>
      </c>
      <c r="B58" s="5">
        <v>22300000</v>
      </c>
      <c r="C58" s="5">
        <v>25980000</v>
      </c>
    </row>
    <row r="59">
      <c r="A59" t="s" s="0">
        <v>35</v>
      </c>
      <c r="B59" s="5">
        <v>29260000</v>
      </c>
      <c r="C59" s="5">
        <v>32940000</v>
      </c>
    </row>
    <row r="60"/>
    <row r="61">
      <c r="A61" t="s" s="1">
        <v>17</v>
      </c>
    </row>
    <row r="62">
      <c r="A62" t="s" s="1">
        <v>29</v>
      </c>
      <c r="B62" t="s" s="1">
        <v>5</v>
      </c>
      <c r="C62" t="s" s="1">
        <v>30</v>
      </c>
    </row>
    <row r="63">
      <c r="A63" t="s" s="0">
        <v>31</v>
      </c>
      <c r="B63" s="5">
        <v>11900000</v>
      </c>
      <c r="C63" s="5">
        <v>17160000</v>
      </c>
    </row>
    <row r="64">
      <c r="A64" t="s" s="0">
        <v>32</v>
      </c>
      <c r="B64" s="5">
        <v>18560000</v>
      </c>
      <c r="C64" s="5">
        <v>23820000</v>
      </c>
    </row>
    <row r="65">
      <c r="A65" t="s" s="0">
        <v>33</v>
      </c>
      <c r="B65" s="5">
        <v>25200000</v>
      </c>
      <c r="C65" s="5">
        <v>30460000</v>
      </c>
    </row>
    <row r="66">
      <c r="A66" t="s" s="0">
        <v>34</v>
      </c>
      <c r="B66" s="5">
        <v>31860000</v>
      </c>
      <c r="C66" s="5">
        <v>37120000</v>
      </c>
    </row>
    <row r="67">
      <c r="A67" t="s" s="0">
        <v>35</v>
      </c>
      <c r="B67" s="5">
        <v>41800000</v>
      </c>
      <c r="C67" s="5">
        <v>47060000</v>
      </c>
    </row>
    <row r="68"/>
    <row r="69">
      <c r="A69" t="s" s="0">
        <v>36</v>
      </c>
    </row>
  </sheetData>
  <mergeCells count="1">
    <mergeCell ref="A1:F1"/>
  </mergeCells>
  <dataValidations count="2">
    <dataValidation type="list" allowBlank="1" sqref="B5">
      <formula1>"Laki-Laki,Perempuan"</formula1>
    </dataValidation>
    <dataValidation type="list" allowBlank="1" sqref="B8">
      <formula1>"Plan 1 (100/200),Plan 2 (200/400),Plan 3 (400/800),Plan 4 (600/1.200),Plan 5 (1.000/2.000)"</formula1>
    </dataValidation>
  </dataValidations>
  <hyperlinks>
    <hyperlink ref="A1" r:id="rId1"/>
  </hyperlinks>
</worksheet>
</file>

<file path=xl/worksheets/sheet2.xml><?xml version="1.0" encoding="utf-8"?>
<worksheet xmlns="http://schemas.openxmlformats.org/spreadsheetml/2006/main" xmlns:r="http://schemas.openxmlformats.org/officeDocument/2006/relationships">
  <cols>
    <col min="1" max="1" width="22" customWidth="1"/>
    <col min="2" max="2" width="24" customWidth="1"/>
    <col min="3" max="7" width="16" customWidth="1"/>
  </cols>
  <sheetData>
    <row r="1">
      <c r="A1" t="s" s="3">
        <v>0</v>
      </c>
    </row>
    <row r="2">
      <c r="A2" t="s" s="1">
        <v>37</v>
      </c>
    </row>
    <row r="3"/>
    <row r="4">
      <c r="A4" t="s" s="1">
        <v>2</v>
      </c>
      <c r="B4" t="s" s="6">
        <v>3</v>
      </c>
    </row>
    <row r="5">
      <c r="A5" t="s" s="1">
        <v>4</v>
      </c>
      <c r="B5" t="s" s="6">
        <v>5</v>
      </c>
    </row>
    <row r="6">
      <c r="A6" t="s" s="1">
        <v>6</v>
      </c>
      <c r="B6" t="s" s="6">
        <v>3</v>
      </c>
    </row>
    <row r="7">
      <c r="A7" t="s" s="1">
        <v>7</v>
      </c>
      <c r="B7" s="0">
        <f>INT((TODAY()-B6)/365.25)</f>
        <v>0</v>
      </c>
    </row>
    <row r="8">
      <c r="A8" t="s" s="1">
        <v>8</v>
      </c>
      <c r="B8" t="s" s="6">
        <v>9</v>
      </c>
    </row>
    <row r="9"/>
    <row r="10">
      <c r="A10" t="s" s="2">
        <v>10</v>
      </c>
    </row>
    <row r="11">
      <c r="A11" t="s" s="1">
        <v>11</v>
      </c>
      <c r="B11" s="5">
        <f>IFERROR(INDEX(B16:F25,MATCH(B5&amp;"_"&amp;IF(B7&lt;=30,"20-30",IF(B7&lt;=40,"31-40",IF(B7&lt;=50,"41-50",IF(B7&lt;=60,"51-60","61-70")))),A16:A25,0),MATCH(B8,B15:F15,0)),"")</f>
        <v>0</v>
      </c>
    </row>
    <row r="12">
      <c r="A12" t="s" s="1">
        <v>12</v>
      </c>
      <c r="B12" s="5">
        <f>IFERROR(B11/10,"")</f>
        <v>0</v>
      </c>
    </row>
    <row r="13"/>
    <row r="14"/>
    <row r="15">
      <c r="A15" t="s" s="1">
        <v>13</v>
      </c>
      <c r="B15" t="s" s="1">
        <v>9</v>
      </c>
      <c r="C15" t="s" s="1">
        <v>14</v>
      </c>
      <c r="D15" t="s" s="1">
        <v>15</v>
      </c>
      <c r="E15" t="s" s="1">
        <v>16</v>
      </c>
      <c r="F15" t="s" s="1">
        <v>17</v>
      </c>
    </row>
    <row r="16">
      <c r="A16" t="s" s="0">
        <v>18</v>
      </c>
      <c r="B16" s="5">
        <v>2380000</v>
      </c>
      <c r="C16" s="5">
        <v>3570000</v>
      </c>
      <c r="D16" s="5">
        <v>5950000</v>
      </c>
      <c r="E16" s="5">
        <v>8330000</v>
      </c>
      <c r="F16" s="5">
        <v>11900000</v>
      </c>
    </row>
    <row r="17">
      <c r="A17" t="s" s="0">
        <v>19</v>
      </c>
      <c r="B17" s="5">
        <v>3710000</v>
      </c>
      <c r="C17" s="5">
        <v>5570000</v>
      </c>
      <c r="D17" s="5">
        <v>9280000</v>
      </c>
      <c r="E17" s="5">
        <v>12990000</v>
      </c>
      <c r="F17" s="5">
        <v>18560000</v>
      </c>
    </row>
    <row r="18">
      <c r="A18" t="s" s="0">
        <v>20</v>
      </c>
      <c r="B18" s="5">
        <v>5040000</v>
      </c>
      <c r="C18" s="5">
        <v>7560000</v>
      </c>
      <c r="D18" s="5">
        <v>12600000</v>
      </c>
      <c r="E18" s="5">
        <v>17640000</v>
      </c>
      <c r="F18" s="5">
        <v>25200000</v>
      </c>
    </row>
    <row r="19">
      <c r="A19" t="s" s="0">
        <v>21</v>
      </c>
      <c r="B19" s="5">
        <v>6370000</v>
      </c>
      <c r="C19" s="5">
        <v>9560000</v>
      </c>
      <c r="D19" s="5">
        <v>15930000</v>
      </c>
      <c r="E19" s="5">
        <v>22300000</v>
      </c>
      <c r="F19" s="5">
        <v>31860000</v>
      </c>
    </row>
    <row r="20">
      <c r="A20" t="s" s="0">
        <v>22</v>
      </c>
      <c r="B20" s="5">
        <v>8360000</v>
      </c>
      <c r="C20" s="5">
        <v>12540000</v>
      </c>
      <c r="D20" s="5">
        <v>20900000</v>
      </c>
      <c r="E20" s="5">
        <v>29260000</v>
      </c>
      <c r="F20" s="5">
        <v>41800000</v>
      </c>
    </row>
    <row r="21">
      <c r="A21" t="s" s="0">
        <v>23</v>
      </c>
      <c r="B21" s="5">
        <v>3430000</v>
      </c>
      <c r="C21" s="5">
        <v>5150000</v>
      </c>
      <c r="D21" s="5">
        <v>8580000</v>
      </c>
      <c r="E21" s="5">
        <v>12010000</v>
      </c>
      <c r="F21" s="5">
        <v>17160000</v>
      </c>
    </row>
    <row r="22">
      <c r="A22" t="s" s="0">
        <v>24</v>
      </c>
      <c r="B22" s="5">
        <v>4760000</v>
      </c>
      <c r="C22" s="5">
        <v>7150000</v>
      </c>
      <c r="D22" s="5">
        <v>11910000</v>
      </c>
      <c r="E22" s="5">
        <v>16670000</v>
      </c>
      <c r="F22" s="5">
        <v>23820000</v>
      </c>
    </row>
    <row r="23">
      <c r="A23" t="s" s="0">
        <v>25</v>
      </c>
      <c r="B23" s="5">
        <v>6090000</v>
      </c>
      <c r="C23" s="5">
        <v>9140000</v>
      </c>
      <c r="D23" s="5">
        <v>15230000</v>
      </c>
      <c r="E23" s="5">
        <v>21320000</v>
      </c>
      <c r="F23" s="5">
        <v>30460000</v>
      </c>
    </row>
    <row r="24">
      <c r="A24" t="s" s="0">
        <v>26</v>
      </c>
      <c r="B24" s="5">
        <v>7420000</v>
      </c>
      <c r="C24" s="5">
        <v>11140000</v>
      </c>
      <c r="D24" s="5">
        <v>18560000</v>
      </c>
      <c r="E24" s="5">
        <v>25980000</v>
      </c>
      <c r="F24" s="5">
        <v>37120000</v>
      </c>
    </row>
    <row r="25">
      <c r="A25" t="s" s="0">
        <v>27</v>
      </c>
      <c r="B25" s="5">
        <v>9410000</v>
      </c>
      <c r="C25" s="5">
        <v>14120000</v>
      </c>
      <c r="D25" s="5">
        <v>23530000</v>
      </c>
      <c r="E25" s="5">
        <v>32940000</v>
      </c>
      <c r="F25" s="5">
        <v>47060000</v>
      </c>
    </row>
    <row r="26"/>
    <row r="27">
      <c r="A27" t="s" s="2">
        <v>38</v>
      </c>
    </row>
    <row r="28"/>
    <row r="29">
      <c r="A29" t="s" s="1">
        <v>9</v>
      </c>
    </row>
    <row r="30">
      <c r="A30" t="s" s="1">
        <v>29</v>
      </c>
      <c r="B30" t="s" s="1">
        <v>5</v>
      </c>
      <c r="C30" t="s" s="1">
        <v>30</v>
      </c>
    </row>
    <row r="31">
      <c r="A31" t="s" s="0">
        <v>31</v>
      </c>
      <c r="B31" s="5">
        <v>2380000</v>
      </c>
      <c r="C31" s="5">
        <v>3430000</v>
      </c>
    </row>
    <row r="32">
      <c r="A32" t="s" s="0">
        <v>32</v>
      </c>
      <c r="B32" s="5">
        <v>3710000</v>
      </c>
      <c r="C32" s="5">
        <v>4760000</v>
      </c>
    </row>
    <row r="33">
      <c r="A33" t="s" s="0">
        <v>33</v>
      </c>
      <c r="B33" s="5">
        <v>5040000</v>
      </c>
      <c r="C33" s="5">
        <v>6090000</v>
      </c>
    </row>
    <row r="34">
      <c r="A34" t="s" s="0">
        <v>34</v>
      </c>
      <c r="B34" s="5">
        <v>6370000</v>
      </c>
      <c r="C34" s="5">
        <v>7420000</v>
      </c>
    </row>
    <row r="35">
      <c r="A35" t="s" s="0">
        <v>35</v>
      </c>
      <c r="B35" s="5">
        <v>8360000</v>
      </c>
      <c r="C35" s="5">
        <v>9410000</v>
      </c>
    </row>
    <row r="36"/>
    <row r="37">
      <c r="A37" t="s" s="1">
        <v>14</v>
      </c>
    </row>
    <row r="38">
      <c r="A38" t="s" s="1">
        <v>29</v>
      </c>
      <c r="B38" t="s" s="1">
        <v>5</v>
      </c>
      <c r="C38" t="s" s="1">
        <v>30</v>
      </c>
    </row>
    <row r="39">
      <c r="A39" t="s" s="0">
        <v>31</v>
      </c>
      <c r="B39" s="5">
        <v>3570000</v>
      </c>
      <c r="C39" s="5">
        <v>5150000</v>
      </c>
    </row>
    <row r="40">
      <c r="A40" t="s" s="0">
        <v>32</v>
      </c>
      <c r="B40" s="5">
        <v>5570000</v>
      </c>
      <c r="C40" s="5">
        <v>7150000</v>
      </c>
    </row>
    <row r="41">
      <c r="A41" t="s" s="0">
        <v>33</v>
      </c>
      <c r="B41" s="5">
        <v>7560000</v>
      </c>
      <c r="C41" s="5">
        <v>9140000</v>
      </c>
    </row>
    <row r="42">
      <c r="A42" t="s" s="0">
        <v>34</v>
      </c>
      <c r="B42" s="5">
        <v>9560000</v>
      </c>
      <c r="C42" s="5">
        <v>11140000</v>
      </c>
    </row>
    <row r="43">
      <c r="A43" t="s" s="0">
        <v>35</v>
      </c>
      <c r="B43" s="5">
        <v>12540000</v>
      </c>
      <c r="C43" s="5">
        <v>14120000</v>
      </c>
    </row>
    <row r="44"/>
    <row r="45">
      <c r="A45" t="s" s="1">
        <v>15</v>
      </c>
    </row>
    <row r="46">
      <c r="A46" t="s" s="1">
        <v>29</v>
      </c>
      <c r="B46" t="s" s="1">
        <v>5</v>
      </c>
      <c r="C46" t="s" s="1">
        <v>30</v>
      </c>
    </row>
    <row r="47">
      <c r="A47" t="s" s="0">
        <v>31</v>
      </c>
      <c r="B47" s="5">
        <v>5950000</v>
      </c>
      <c r="C47" s="5">
        <v>8580000</v>
      </c>
    </row>
    <row r="48">
      <c r="A48" t="s" s="0">
        <v>32</v>
      </c>
      <c r="B48" s="5">
        <v>9280000</v>
      </c>
      <c r="C48" s="5">
        <v>11910000</v>
      </c>
    </row>
    <row r="49">
      <c r="A49" t="s" s="0">
        <v>33</v>
      </c>
      <c r="B49" s="5">
        <v>12600000</v>
      </c>
      <c r="C49" s="5">
        <v>15230000</v>
      </c>
    </row>
    <row r="50">
      <c r="A50" t="s" s="0">
        <v>34</v>
      </c>
      <c r="B50" s="5">
        <v>15930000</v>
      </c>
      <c r="C50" s="5">
        <v>18560000</v>
      </c>
    </row>
    <row r="51">
      <c r="A51" t="s" s="0">
        <v>35</v>
      </c>
      <c r="B51" s="5">
        <v>20900000</v>
      </c>
      <c r="C51" s="5">
        <v>23530000</v>
      </c>
    </row>
    <row r="52"/>
    <row r="53">
      <c r="A53" t="s" s="1">
        <v>16</v>
      </c>
    </row>
    <row r="54">
      <c r="A54" t="s" s="1">
        <v>29</v>
      </c>
      <c r="B54" t="s" s="1">
        <v>5</v>
      </c>
      <c r="C54" t="s" s="1">
        <v>30</v>
      </c>
    </row>
    <row r="55">
      <c r="A55" t="s" s="0">
        <v>31</v>
      </c>
      <c r="B55" s="5">
        <v>8330000</v>
      </c>
      <c r="C55" s="5">
        <v>12010000</v>
      </c>
    </row>
    <row r="56">
      <c r="A56" t="s" s="0">
        <v>32</v>
      </c>
      <c r="B56" s="5">
        <v>12990000</v>
      </c>
      <c r="C56" s="5">
        <v>16670000</v>
      </c>
    </row>
    <row r="57">
      <c r="A57" t="s" s="0">
        <v>33</v>
      </c>
      <c r="B57" s="5">
        <v>17640000</v>
      </c>
      <c r="C57" s="5">
        <v>21320000</v>
      </c>
    </row>
    <row r="58">
      <c r="A58" t="s" s="0">
        <v>34</v>
      </c>
      <c r="B58" s="5">
        <v>22300000</v>
      </c>
      <c r="C58" s="5">
        <v>25980000</v>
      </c>
    </row>
    <row r="59">
      <c r="A59" t="s" s="0">
        <v>35</v>
      </c>
      <c r="B59" s="5">
        <v>29260000</v>
      </c>
      <c r="C59" s="5">
        <v>32940000</v>
      </c>
    </row>
    <row r="60"/>
    <row r="61">
      <c r="A61" t="s" s="1">
        <v>17</v>
      </c>
    </row>
    <row r="62">
      <c r="A62" t="s" s="1">
        <v>29</v>
      </c>
      <c r="B62" t="s" s="1">
        <v>5</v>
      </c>
      <c r="C62" t="s" s="1">
        <v>30</v>
      </c>
    </row>
    <row r="63">
      <c r="A63" t="s" s="0">
        <v>31</v>
      </c>
      <c r="B63" s="5">
        <v>11900000</v>
      </c>
      <c r="C63" s="5">
        <v>17160000</v>
      </c>
    </row>
    <row r="64">
      <c r="A64" t="s" s="0">
        <v>32</v>
      </c>
      <c r="B64" s="5">
        <v>18560000</v>
      </c>
      <c r="C64" s="5">
        <v>23820000</v>
      </c>
    </row>
    <row r="65">
      <c r="A65" t="s" s="0">
        <v>33</v>
      </c>
      <c r="B65" s="5">
        <v>25200000</v>
      </c>
      <c r="C65" s="5">
        <v>30460000</v>
      </c>
    </row>
    <row r="66">
      <c r="A66" t="s" s="0">
        <v>34</v>
      </c>
      <c r="B66" s="5">
        <v>31860000</v>
      </c>
      <c r="C66" s="5">
        <v>37120000</v>
      </c>
    </row>
    <row r="67">
      <c r="A67" t="s" s="0">
        <v>35</v>
      </c>
      <c r="B67" s="5">
        <v>41800000</v>
      </c>
      <c r="C67" s="5">
        <v>47060000</v>
      </c>
    </row>
    <row r="68"/>
    <row r="69">
      <c r="A69" t="s" s="0">
        <v>36</v>
      </c>
    </row>
  </sheetData>
  <mergeCells count="1">
    <mergeCell ref="A1:F1"/>
  </mergeCells>
  <dataValidations count="2">
    <dataValidation type="list" allowBlank="1" sqref="B5">
      <formula1>"Laki-Laki,Perempuan"</formula1>
    </dataValidation>
    <dataValidation type="list" allowBlank="1" sqref="B8">
      <formula1>"Plan 1 (100/200),Plan 2 (200/400),Plan 3 (400/800),Plan 4 (600/1.200),Plan 5 (1.000/2.000)"</formula1>
    </dataValidation>
  </dataValidations>
  <hyperlinks>
    <hyperlink ref="A1" r:id="rId1"/>
  </hyperlinks>
</worksheet>
</file>